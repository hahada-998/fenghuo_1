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1940"/>
  </bookViews>
  <sheets>
    <sheet name="版本描述信息" sheetId="3" r:id="rId1"/>
    <sheet name="例行系统测试" sheetId="10" r:id="rId2"/>
    <sheet name="测试说明及记录" sheetId="9" r:id="rId3"/>
    <sheet name="版本修改记录" sheetId="11" r:id="rId4"/>
    <sheet name="问题单合入记录" sheetId="4" state="hidden" r:id="rId5"/>
    <sheet name="附录信息" sheetId="1" r:id="rId6"/>
    <sheet name="模板修订记录" sheetId="8" r:id="rId7"/>
  </sheets>
  <definedNames>
    <definedName name="_xlnm._FilterDatabase" localSheetId="0" hidden="1">版本描述信息!$A$28:$F$39</definedName>
  </definedNames>
  <calcPr calcId="144525"/>
</workbook>
</file>

<file path=xl/sharedStrings.xml><?xml version="1.0" encoding="utf-8"?>
<sst xmlns="http://schemas.openxmlformats.org/spreadsheetml/2006/main" count="372" uniqueCount="308">
  <si>
    <t>CPLD逻辑转测试说明</t>
  </si>
  <si>
    <t>基本信息</t>
  </si>
  <si>
    <t>责任人</t>
  </si>
  <si>
    <t>lipeiwei 00431</t>
  </si>
  <si>
    <t>硬件版本经理</t>
  </si>
  <si>
    <t>PL</t>
  </si>
  <si>
    <t>zhenghanze 00368</t>
  </si>
  <si>
    <t>单板名称</t>
  </si>
  <si>
    <t>BP-4S104G5</t>
  </si>
  <si>
    <t>单板编码</t>
  </si>
  <si>
    <t>PCB信息</t>
  </si>
  <si>
    <t>EEPROM</t>
  </si>
  <si>
    <t>软件载体位号</t>
  </si>
  <si>
    <t>U1</t>
  </si>
  <si>
    <t>加载座位号</t>
  </si>
  <si>
    <t>J68</t>
  </si>
  <si>
    <t>软件载体</t>
  </si>
  <si>
    <t>LCMXO3LF_6900C_5BG400C</t>
  </si>
  <si>
    <t>软件描述</t>
  </si>
  <si>
    <t>单板软件-BP-4S104G5 SW板逻辑控制-CPLD</t>
  </si>
  <si>
    <t>转测试版本文件信息</t>
  </si>
  <si>
    <t>转测试版本</t>
  </si>
  <si>
    <t>V011_4PORT</t>
  </si>
  <si>
    <t>版本说明</t>
  </si>
  <si>
    <t>编译号：</t>
  </si>
  <si>
    <t>JED文件</t>
  </si>
  <si>
    <t>文件大小</t>
  </si>
  <si>
    <t>MD5校验码</t>
  </si>
  <si>
    <t>文件用途说明</t>
  </si>
  <si>
    <t xml:space="preserve"> 离线烧录文件</t>
  </si>
  <si>
    <t>BIN文件</t>
  </si>
  <si>
    <t xml:space="preserve"> HDM在线升级文件</t>
  </si>
  <si>
    <t>RPM文件</t>
  </si>
  <si>
    <t xml:space="preserve"> 装备ST测试升级文件</t>
  </si>
  <si>
    <t>RAR文件</t>
  </si>
  <si>
    <t xml:space="preserve"> 打包文件，包含上述3个文件</t>
  </si>
  <si>
    <t>烧录方法</t>
  </si>
  <si>
    <t>1. 逻辑烧写器离线烧录，烧录软件Diamond Programmer，使用未签名的jed文件；
2. BMC在线升级，使用签名的bin文件；
3. 可以使用Beyond Compare对比，签名的bin文件头部比jed文件多一段签名信息</t>
  </si>
  <si>
    <t>版本文件配套信息</t>
  </si>
  <si>
    <t>BIOS</t>
  </si>
  <si>
    <t>归档路径</t>
  </si>
  <si>
    <t>BMC</t>
  </si>
  <si>
    <t>CPLD</t>
  </si>
  <si>
    <t>CMU_CPLD</t>
  </si>
  <si>
    <t>MB_CPLD_S</t>
  </si>
  <si>
    <t>12LUG5_CPLD</t>
  </si>
  <si>
    <t>8LSG4_CPLD</t>
  </si>
  <si>
    <t>4SSG5_CPLD</t>
  </si>
  <si>
    <t>兼容性说明(描述单板与软件配套关系，或其他注意事项)</t>
  </si>
  <si>
    <t>注意事项1</t>
  </si>
  <si>
    <t>RPM文件必须使用生成工具自动生成的默认名，不能修改成类似RS8SM01004.rpm这样，否则会导致ST测试阶段，REPO升级失败</t>
  </si>
  <si>
    <t>注意事项2</t>
  </si>
  <si>
    <t>RPM文件生成工具有问题，文件生成后要注意手动检查，解压后看版本号和在线升级文件是否存在、文件名是否正确，详见附录信息1</t>
  </si>
  <si>
    <t>注意事项3</t>
  </si>
  <si>
    <t>本次转测试RPM文件和RAR文件有刷新，主要是RPM文件生成有问题，REPO升级失败</t>
  </si>
  <si>
    <t>注意事项4</t>
  </si>
  <si>
    <t>发布信息(CMO专用，请CMO严格校验转测试版本的MD5值是否与实际发布版本一致)</t>
  </si>
  <si>
    <r>
      <rPr>
        <b/>
        <sz val="11"/>
        <rFont val="微软雅黑"/>
        <charset val="134"/>
      </rPr>
      <t>版本归属</t>
    </r>
  </si>
  <si>
    <r>
      <rPr>
        <b/>
        <sz val="11"/>
        <rFont val="微软雅黑"/>
        <charset val="134"/>
      </rPr>
      <t>单板名</t>
    </r>
  </si>
  <si>
    <t>软件类型</t>
  </si>
  <si>
    <t>软件编码</t>
  </si>
  <si>
    <t>加载方式</t>
  </si>
  <si>
    <r>
      <rPr>
        <b/>
        <sz val="11"/>
        <rFont val="微软雅黑"/>
        <charset val="134"/>
      </rPr>
      <t>内部版本名称</t>
    </r>
  </si>
  <si>
    <t>对外版本号</t>
  </si>
  <si>
    <r>
      <rPr>
        <b/>
        <sz val="11"/>
        <rFont val="微软雅黑"/>
        <charset val="134"/>
      </rPr>
      <t>版本发布原因</t>
    </r>
  </si>
  <si>
    <t>首次发布</t>
  </si>
  <si>
    <t>发布原因、用途详细描述</t>
  </si>
  <si>
    <t>&lt;描述详细的发布原因，例如解决什么问题，首次发布可以不填写&gt;</t>
  </si>
  <si>
    <t>该版本解决问题数</t>
  </si>
  <si>
    <t>&lt;问题单数量，重复问题不算，除首次发布外，后续版本所有修改点必须要有对应的问题单&gt;</t>
  </si>
  <si>
    <t>当前版本所在阶段</t>
  </si>
  <si>
    <t>TR4-TR4A</t>
  </si>
  <si>
    <r>
      <rPr>
        <b/>
        <sz val="11"/>
        <rFont val="微软雅黑"/>
        <charset val="134"/>
      </rPr>
      <t>版本使用范围</t>
    </r>
  </si>
  <si>
    <t>国内</t>
  </si>
  <si>
    <r>
      <rPr>
        <b/>
        <sz val="11"/>
        <rFont val="微软雅黑"/>
        <charset val="134"/>
      </rPr>
      <t>版本发布范围</t>
    </r>
  </si>
  <si>
    <t>生产</t>
  </si>
  <si>
    <r>
      <rPr>
        <b/>
        <sz val="11"/>
        <rFont val="微软雅黑"/>
        <charset val="134"/>
      </rPr>
      <t>技术支援使用范围</t>
    </r>
  </si>
  <si>
    <t>&lt;此版本是否需要限制局点、限制整机条码范围、限制整机配置、限制版本配套关系等等&gt;</t>
  </si>
  <si>
    <r>
      <rPr>
        <b/>
        <sz val="11"/>
        <rFont val="微软雅黑"/>
        <charset val="134"/>
      </rPr>
      <t>生产加工要求</t>
    </r>
  </si>
  <si>
    <t>正常加工</t>
  </si>
  <si>
    <t>是否需要同步升级装备</t>
  </si>
  <si>
    <t>是</t>
  </si>
  <si>
    <r>
      <rPr>
        <b/>
        <sz val="11"/>
        <rFont val="Arial Black"/>
        <charset val="134"/>
      </rPr>
      <t>CMM</t>
    </r>
    <r>
      <rPr>
        <b/>
        <sz val="11"/>
        <rFont val="宋体"/>
        <charset val="134"/>
      </rPr>
      <t>评审流程</t>
    </r>
  </si>
  <si>
    <t>&lt;版本转测试前，需要CMM评审代码和转测试说明，且评审通过并关闭&gt;</t>
  </si>
  <si>
    <r>
      <rPr>
        <b/>
        <sz val="11"/>
        <rFont val="微软雅黑"/>
        <charset val="134"/>
      </rPr>
      <t>交付件路径</t>
    </r>
  </si>
  <si>
    <t>&lt;06服务器归档地址，注意必须和转测试的文件完成一致，不允许重新编译，重新编译必须重新转测试&gt;</t>
  </si>
  <si>
    <r>
      <rPr>
        <b/>
        <sz val="11"/>
        <rFont val="微软雅黑"/>
        <charset val="134"/>
      </rPr>
      <t>源代码路径</t>
    </r>
  </si>
  <si>
    <t>&lt;06服务器归档地址，工程打包注意删除不必要的文件&gt;</t>
  </si>
  <si>
    <t>发布材料路径</t>
  </si>
  <si>
    <t>&lt;06服务器归档地址，包含版本描述文件和加载说明书(生产使用)、版本说明和版本使用指导(用服使用，注意标准化)&gt;</t>
  </si>
  <si>
    <t>测试报告路径</t>
  </si>
  <si>
    <t>&lt;06服务器归档地址，包含转测试说明(硬件开发提供)和版本测试报告(硬件测试提供)&gt;</t>
  </si>
  <si>
    <t>注：硬件发布的软件版本，发布类型是：单板软件类，版本类型是：正式版本</t>
  </si>
  <si>
    <t>注：TR4A前的研发内部版本，由版本经理归档并邮件发布给研发各专业使用，不需要走发布流程，可以不填写发布信息表格</t>
  </si>
  <si>
    <t>例行系统测试说明及测试记录</t>
  </si>
  <si>
    <t>用例编号</t>
  </si>
  <si>
    <t>功能测试项</t>
  </si>
  <si>
    <t>测试项说明</t>
  </si>
  <si>
    <t>验证方法</t>
  </si>
  <si>
    <t>备注</t>
  </si>
  <si>
    <t>测试记录</t>
  </si>
  <si>
    <t>测试结果</t>
  </si>
  <si>
    <t>日期</t>
  </si>
  <si>
    <t>工程打包文件</t>
  </si>
  <si>
    <t>验证源码打包正确性</t>
  </si>
  <si>
    <t>1.使用软件自带的Archive功能打包，不要勾选打包所有文件
2.检查打包后的工程文件压缩包的文件大小，应该小于2MB
3.在一个新文件夹内，直接解压工程文件，双击ldf文件，工程应能正常打开
4.工程打开后的error和warning数目应都为0，并能够正常编译</t>
  </si>
  <si>
    <t>1.请做好版本管理，不建议同一时间打开多个工程，防止混淆工程，进而出错
2.建议定期打包工程并按时间或编译次数命名，例如每天打包一次</t>
  </si>
  <si>
    <t>未测试</t>
  </si>
  <si>
    <t>逻辑资源使用情况</t>
  </si>
  <si>
    <t>确认资源是否有风险</t>
  </si>
  <si>
    <t>1.直接编译工程，编译时间超过十分钟，建议优化代码
2.编译完成后接选择Reports -&gt; Map，查看资源使用情况，其中SLICE使用率不能超过90%
3.检查Hierachy，确认是否有需要的模块，其资源使用为0</t>
  </si>
  <si>
    <t>在线升级</t>
  </si>
  <si>
    <t>验证bin文件正确性</t>
  </si>
  <si>
    <t>1.HDM在线升级，确认HDM显示升级版本为V003
2.正常升级完成后，进入BMC串口
3.使用命令：cpldtest 0 -dump，dump XREGS寄存器
4.编译时间0xF6-FB应为0x20，0x20，0x09，0x16，0x13，0x29，精确到分钟
5.其中0xFE应为0x00，0xFF因为0x04
6.登录HDM，选择：系统信息-&gt;固件信息-&gt;主板
7.其中CPLD版本应显示为V004</t>
  </si>
  <si>
    <t>必测
重点验证固件信息和在线升级时显示的版本号</t>
  </si>
  <si>
    <t>RPM包验证</t>
  </si>
  <si>
    <t>验证rpm包正确性</t>
  </si>
  <si>
    <t>1.请按“附录信息”中第一项：手工检查RPM文件的方法检查
2.或者在OS下直接运行RPM包，见步骤3-4
3.使用命令：chmod +x “rpm文件名”
4.使用命令：./“rpm文件名”</t>
  </si>
  <si>
    <t>必测
避免装备测试RPM升级不通过，被退回
OS需要支持Yafu命令</t>
  </si>
  <si>
    <t>DC Reboot</t>
  </si>
  <si>
    <t>验证电源状态机</t>
  </si>
  <si>
    <t>1.使用UEFI SHELL下DC REBOOT脚本，运行48h
2.期间不能异常停止，且HDM没有任何异常信息</t>
  </si>
  <si>
    <t>如无任何涉及电源的修改，可免测</t>
  </si>
  <si>
    <r>
      <rPr>
        <sz val="10"/>
        <color theme="1"/>
        <rFont val="等线"/>
        <charset val="134"/>
        <scheme val="minor"/>
      </rPr>
      <t xml:space="preserve">未测试
</t>
    </r>
    <r>
      <rPr>
        <sz val="10"/>
        <color rgb="FF00B0F0"/>
        <rFont val="等线"/>
        <charset val="134"/>
        <scheme val="minor"/>
      </rPr>
      <t>&lt;此处补充测试LOG&gt;</t>
    </r>
  </si>
  <si>
    <t>AC Reboot</t>
  </si>
  <si>
    <t>1.使用PDU和AC reboot脚本，运行48h或100次
2.期间不能异常停止，且HDM没有任何异常信息</t>
  </si>
  <si>
    <t>如无任何涉及电源的修改，可缩短时间为12h</t>
  </si>
  <si>
    <t>漏电测试</t>
  </si>
  <si>
    <t>验证STBY下有无主电开启</t>
  </si>
  <si>
    <t>1.AC上电时，P12V等主电不能有异常波动
2.STBY下稳定后P12V等主电漏电不能超过50mV</t>
  </si>
  <si>
    <t>&lt;此处补充测试LOG&gt;</t>
  </si>
  <si>
    <t>注：关键版本与正式版本，在每次提交给测试前，必须要完成测试</t>
  </si>
  <si>
    <t>逻辑功能点测试说明及测试记录</t>
  </si>
  <si>
    <t>功能/修改点</t>
  </si>
  <si>
    <t>功能/修改点说明</t>
  </si>
  <si>
    <t>功能/修改点验证方法</t>
  </si>
  <si>
    <t>自测结果</t>
  </si>
  <si>
    <t>版本号：V001</t>
  </si>
  <si>
    <t>版本号：V002</t>
  </si>
  <si>
    <t>版本号：V003</t>
  </si>
  <si>
    <t>版本号：V004(括号里内容作为模板提醒，正式文档请删除括号及括号里内容；新增版本的测试，请保留之前版本的测试记录，可以将之前分组折叠，并再创建新的分组)</t>
  </si>
  <si>
    <t>除首次发布外，后续的新增版本，只需要设计验证修改点。请仔细设计修改点的测试用例，并测试，同时记录测试结果，同时Sheet在“版本修订记录”里补充代码对比报告</t>
  </si>
  <si>
    <t>V001修改记录</t>
  </si>
  <si>
    <t>一.V001为研发内部版本，新开发。</t>
  </si>
  <si>
    <t>1、2024-5-14 PS_ON信号未按预期给出，排查发现PSU_PRSNT由低有效改为高有效。</t>
  </si>
  <si>
    <t>2、2024-5-14 HSC_EN信号中使用的PSU_PRSNT也改为高有效。</t>
  </si>
  <si>
    <t>3、2024-5-14 硬件调试飞线跳过p12v_pg，故逻辑中将P1V8_EN改为认PSU0_PWROK_N。</t>
  </si>
  <si>
    <t>4、2024-5-15 将Y4/P20由输出0改为输出1。</t>
  </si>
  <si>
    <t>5、2024-5-16 将W12上的led指示CPLD活着的灯，呼吸灯效果。</t>
  </si>
  <si>
    <t>6、2024-5-16 将主板传递过来的RSMRST延时1ms后用以开启UBB_FPGA_PEX_RST_N，用w_pch_slp5_n信号去开启GPU_BASE_POWER_EN。</t>
  </si>
  <si>
    <t>7、2024-5-17 54V转12V异常问题已定位，是电感线圈焊反了。故将P1V8_EN改回认p12v_pg。</t>
  </si>
  <si>
    <t>8、2024-5-17 PAL_RAA_EN_N由上主电后输出1改为上主电后输出0。</t>
  </si>
  <si>
    <t>9、2024-5-18 SW板逻辑改动：将UBB_PEX_RST由认GPU_BASE_PER_GD延时2ms改为认GPU_BASE_PER_GD与上rst_pltrst。</t>
  </si>
  <si>
    <t>10、2024-5-20 SW板逻辑改动：合入PSU在位等信息，psu可以让BMC控制下电。</t>
  </si>
  <si>
    <t>11、2024-5-20 SW板逻辑改动：将3V3IO_RSVD0/1/2/3_FFU_R通过SGPIO传递给主板，用以告知BIOS当前是哪块UBB在位。</t>
  </si>
  <si>
    <t>V002修改记录</t>
  </si>
  <si>
    <t>1、2024-5-21 SW板逻辑改动：风扇无法控速，怀疑是BMC_ACTIVE0信号有问题，屏蔽掉，并且把默认转速由60%改为20%。</t>
  </si>
  <si>
    <t>2、2024-5-21 SW板逻辑改动：BP_EEPROM_WP_R由BMC控制改为强制写0输出，因为担心BMC操作过程中把这个值改了。</t>
  </si>
  <si>
    <t>3、2024-5-23 SW板逻辑改动：BP_EEPROM_WP_R由强制写0输出改回受BMC寄存器控制。</t>
  </si>
  <si>
    <t>5、2024-5-29 SW板逻辑改动：风扇前后转子PIN脚互换一下。</t>
  </si>
  <si>
    <t>6、2024-5-29 SW板逻辑改动：新增0x0019的bit1用以代表UBB在位。</t>
  </si>
  <si>
    <t>7、2024-5-31 SW板逻辑改动：风扇调速策略合入，开机40%的转速，BMC挂死则满转速运行。</t>
  </si>
  <si>
    <t>7、2024-5-31 修改版本号和日期用以发布。</t>
  </si>
  <si>
    <t>V003修改记录</t>
  </si>
  <si>
    <t>1、2024-6-4 SW板逻辑改动：RETIMER_1P8V_EN_R由之前跟随SLPS5拉高，改为跟随P12V_PG拉高。</t>
  </si>
  <si>
    <t>2、2024-6-4 SW板逻辑改动：RETIMER_1P8V_EN_R改为跟随P12V_PG和SLPS5拉高。——cdms202406010013</t>
  </si>
  <si>
    <t>3、2024-6-4 SW板逻辑改动：将3V3IO_RSVD0_FFU_R这组用以判断UBB卡类型的4个管脚加上拉处理，否则默认态不对，会导致BIOS接收到错误的在位信息。代码无改动。</t>
  </si>
  <si>
    <t>4、2024-6-15 修改版本号和日期用以发布。</t>
  </si>
  <si>
    <t>V004修改记录</t>
  </si>
  <si>
    <t>1、2024-6-18  SW板逻辑改动：HSC0_RESTART由输出高阻改为认P12V_PG和SLPS5。</t>
  </si>
  <si>
    <t>2、2024-6-18 SW板逻辑改动：P20管脚由输出高改为认P12V_PG和SLPS5。——cdms202405290069</t>
  </si>
  <si>
    <t>3、2024-6-20 测试需要，将风扇默认转速改为10%，并且取消BMC不活时直接拉满转的功能。——已改回原逻辑。</t>
  </si>
  <si>
    <t>4、2024-6-22 SW板逻辑改动：将o_SW0_PEX_PERST_N_R这4个复位信号和o_PAL_RAA_EN_N改为单SW板上电的调试模式，不需要依赖来自主板的信号。已删除此调试模式改动点。</t>
  </si>
  <si>
    <t>5、2024-6-26 SW板逻辑改动：o_RETIMER_1P8V_EN_R由跟随w_p12v_pg_db改为跟随w_pg_p1v8_r_db。</t>
  </si>
  <si>
    <t>6、2024-6-29 SW板逻辑改动：添加定位电源问题的各项PG信号到BMC寄存器，占用0x0013寄存器的bit1和bit0以及0x0027/0x0028寄存器.</t>
  </si>
  <si>
    <t>7、2024-7-1 SW板逻辑改动：将第debug_led2改为判断与SW板的SGPIO是否通讯OK的指示灯，默认为灭，通讯失败时亮灯。</t>
  </si>
  <si>
    <t>8、2024-7-1 SW板逻辑改动：将retimer_rst信号由跟随slps5和pspg改为认pltrst。</t>
  </si>
  <si>
    <t>9、2024-7-2 SW板逻辑改动：PAL_DB2000_PWRGD信号由上电输出高改为P0V8_SW1_PWRGD、P0V8_SW2_PWRGD、P0V8_SW3_PWRGD、P0V8_SW4_PWRGD或逻辑生效后在延时100ms输出高电平。</t>
  </si>
  <si>
    <t>10、2024-7-9 SW板逻辑改动：P1V8_EN强行写0输出给电源调试专用。——已改回原逻辑。</t>
  </si>
  <si>
    <t>11、2024-7-9 修改版本号和日期用以发布。</t>
  </si>
  <si>
    <t>12、2024-7-10 SW板逻辑改动：PAL_DB2000_PWRGD信号改回上电输出高。——验证无效，已改回</t>
  </si>
  <si>
    <t>13、2024-7-10 SW板逻辑改动：将12条的改动撤回，将o_RETIMER_1P8V_EN_R由跟随w_pg_p1v8_r_db改为跟随w_p12v_pg_db——验证无效，已改回</t>
  </si>
  <si>
    <t>14、2024-7-10 SW板逻辑改动：将o_RETIMER_1P8V_EN_R由跟随w_p12v_pg_db改回跟随w_pg_p1v8_r_db，将retimer_rst信号由跟随pltrst改为认slps5和pspg。——验证无效，已改回</t>
  </si>
  <si>
    <t>15、2024-7-10 SW板逻辑改动：将retimer_rst信号由跟随slps5和pspg改为认slpS5与上pltrst的上升沿锁存。——验证无效，已改回</t>
  </si>
  <si>
    <t>16、2024-7-10 SW板逻辑改动：将retimer_rst信号由跟随slpS5与上pltrst的上升沿锁存改为认各自0.9V的PG延10ms。测试OK。</t>
  </si>
  <si>
    <t>17、2024-7-12 修改日期用以发布。</t>
  </si>
  <si>
    <t>V005修改记录</t>
  </si>
  <si>
    <t>1、2024-7-23 SW板逻辑改动：修改P0V8_SW_EN和o_CT_P1V25_SW_EN和o_P1V8_PLL_EN和o_P1V8_EN的上电控制时序，仅做调试使用。已删掉改回正常版本。</t>
  </si>
  <si>
    <t>2、2024-7-23 SW板逻辑改动：将o_P1V8_PLL_EN和o_P1V8_EN的上电控制序改为同时上电。</t>
  </si>
  <si>
    <t>3、2024-7-24 SW板逻辑改动：修改P0V8_SW_EN和o_CT_P1V25_SW_EN和o_P1V8_PLL_EN和o_P1V8_EN的上电控制时序，并且P0V8_SW_EN上电直接开，仅做单台P12V_PG异常设备调试使用。</t>
  </si>
  <si>
    <t>4、2024-7-24 SW板逻辑改动：P0V8_SW_EN上电改为认SLPS5，仅做单台P12V_PG异常设备调试使用。</t>
  </si>
  <si>
    <t>5、2024-7-25 SW板逻辑改动：修改P0V8_SW_EN和o_CT_P1V25_SW_EN和o_P1V8_PLL_EN和o_P1V8_EN的上电控制时，依次认前级电源的PG延时10ms后开启。</t>
  </si>
  <si>
    <t>6、2024-8-12 修改版本号和日期用以发布。</t>
  </si>
  <si>
    <t>V006修改记录</t>
  </si>
  <si>
    <t>1、2024-8-16 SW板逻辑改动：新增0x0029寄存器用以读取反馈UBB类型的4bit数据。</t>
  </si>
  <si>
    <t>安义凡</t>
  </si>
  <si>
    <t>OK</t>
  </si>
  <si>
    <t>2、2024-8-16 SW板逻辑改动：4U OAM液冷项目调试需要，将风扇默认拉满转速。已改回正常逻辑。</t>
  </si>
  <si>
    <t>杨鹏</t>
  </si>
  <si>
    <t>3、2024-8-17 SW板逻辑改动：针对SW芯片掉卡问题，将时序改为先上P0V8_SW_EN，再上o_CT_P1V25_SW_EN，最后上o_P1V8_PLL_EN和o_P1V8_EN。</t>
  </si>
  <si>
    <t>4、2024-8-19 SW板逻辑改动：将P1V25_SW_EN由认p0v8_sw_pg延时50ms改为10ms，将P1V8_EN和P1V8_PLL_EN由认p1v25_sw_pg延时50ms改为10ms。</t>
  </si>
  <si>
    <t>郑翰泽</t>
  </si>
  <si>
    <t>5、2024-8-19 修改版本号和日期用以发布。</t>
  </si>
  <si>
    <t>V006P01修改记录</t>
  </si>
  <si>
    <t>1、2024-9-9 SW板逻辑改动：将SW0_SPI_CS_SEL/ SW1_SPI_CS_SEL/ SW2_SPI_CS_SEL/ SW3_SPI_CS_SEL输出低电平，调试用。</t>
  </si>
  <si>
    <t>2、2024-9-9 SW板逻辑改动：将SW0_SPI_CS_SEL/ SW1_SPI_CS_SEL/ SW2_SPI_CS_SEL/ SW3_SPI_CS_SEL改为受BMC寄存器控制，默认是由MCIO的线缆决定，当0x0033寄存器的bit4置0后，受0x0033寄存器的bit3-0控制。默认值是0000，对应4port模式。</t>
  </si>
  <si>
    <t>黄友根</t>
  </si>
  <si>
    <t>3、2024-9-10 SW板逻辑改动：将SW0_SPI_CS_SEL/ SW1_SPI_CS_SEL/ SW2_SPI_CS_SEL/ SW3_SPI_CS_SEL改为受BMC寄存器控制，默认为4port模式，可以通过BMC写命令切换到8port模式或者通过MCIO的线缆自适应。</t>
  </si>
  <si>
    <t>吴玲萍</t>
  </si>
  <si>
    <t>4、2024-9-10 SW板逻辑改动：将SW0_SPI_CS_SEL/ SW1_SPI_CS_SEL/ SW2_SPI_CS_SEL/ SW3_SPI_CS_SEL通过SGPIO传递给主板主逻辑。</t>
  </si>
  <si>
    <t>V007修改记录</t>
  </si>
  <si>
    <t>1、2024-9-12 SW板逻辑改动：新增0x0034寄存器作为BMC寄存器控制SW_SPI_CS_SEL的使能屏蔽位，默认0，受BMC控制，写1后改为受MCIO线缆自适应。</t>
  </si>
  <si>
    <t>2、2024-9-12 修改版本号和日期用以发布。</t>
  </si>
  <si>
    <t>V008修改记录</t>
  </si>
  <si>
    <t>1、2024-10-10 SW板逻辑改动：新增0x0035寄存器，可以通过BMC寄存器控制8LP网卡复位信号。</t>
  </si>
  <si>
    <t>2、2024-11-13 SW板逻辑改动：修改版本号和日期用以发布。</t>
  </si>
  <si>
    <t>V009修改记录</t>
  </si>
  <si>
    <t>1、2024-11-19 SW板逻辑改动：适配沐曦UBB，默认改为8port模式。——仅调试，已删除。</t>
  </si>
  <si>
    <t>刘威</t>
  </si>
  <si>
    <t>2、2024-11-21 SW板逻辑改动：导入联想BIOS定制版本需求，将接线配置sw模式传递给主逻辑告诉BIOS。——cdms202411210079</t>
  </si>
  <si>
    <t>3、2024-11-28 修改版本号和日期用以发布。</t>
  </si>
  <si>
    <t>V010修改记录</t>
  </si>
  <si>
    <t>1、2024-12-23 SW板逻辑改动：代码无改动，BANK3管脚配置BANK_VCC和IO_TYPE不匹配问题修复。——cdms202412050066</t>
  </si>
  <si>
    <t>李培炜</t>
  </si>
  <si>
    <t>2、2024-12-23 修改版本号和日期用以发布。</t>
  </si>
  <si>
    <t>3、2024-12-24 SW板逻辑改动：针对BIOS重启，风扇停转10秒问题，将PAL_HSC0_RESTART改为直接输出0。——cdms202412240020</t>
  </si>
  <si>
    <t>刘子默</t>
  </si>
  <si>
    <t>4、2024-12-25 修改日期用以发布。</t>
  </si>
  <si>
    <t>V011修改记录——4PORT版本</t>
  </si>
  <si>
    <t>1、2024-12-4 SW板逻辑改动：新增ICT测试点(V15管脚，PCB丝印TP100，原理图上空脚)模拟SLPS5，可以在单板环境下，拉起P12V和SW芯片的电。——cdms202412050019</t>
  </si>
  <si>
    <t>2、2025-1-10 SW板逻辑改动：排查发现8LP的sgpio传过来1.8V的PG命名和switch板这边是反的，将代码中w_RETIMER2_1P8_PG,w_RETIMER1_1P8_PG顺序互换一下。——cdms202501100001</t>
  </si>
  <si>
    <t>3、2025-1-23 SW板逻辑改动：修改其余8LP的sgpio传过来信号顺序。——cdms202501100001</t>
  </si>
  <si>
    <t>4、2025-2-8 修改日期用以发布。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</si>
  <si>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</si>
  <si>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</si>
  <si>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</si>
  <si>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</si>
  <si>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</si>
  <si>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</si>
  <si>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</si>
  <si>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</si>
  <si>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</si>
  <si>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</si>
  <si>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</si>
  <si>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</si>
  <si>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</si>
  <si>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</si>
  <si>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</si>
  <si>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</si>
  <si>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</si>
  <si>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</si>
  <si>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</si>
  <si>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</si>
  <si>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</si>
  <si>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</si>
  <si>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</si>
  <si>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</si>
  <si>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</si>
  <si>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</si>
  <si>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</si>
  <si>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</si>
  <si>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</si>
  <si>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</si>
  <si>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</si>
  <si>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</si>
  <si>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</si>
  <si>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</si>
  <si>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</si>
  <si>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</si>
  <si>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</si>
  <si>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</si>
  <si>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</si>
  <si>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</si>
  <si>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</si>
  <si>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</si>
  <si>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</si>
  <si>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</si>
  <si>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</si>
  <si>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</si>
  <si>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</si>
  <si>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</si>
  <si>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</si>
  <si>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t>一、手工检查RPM文件的方法</t>
  </si>
  <si>
    <t>1.使用Notepad++打开工具生成好的RPM文件，删除1-24行脚本内容(红框内)</t>
  </si>
  <si>
    <t>2.将修改后的RPM文件的扩展名，由rpm修改为tar.gz，再解压，进入解压后的文件夹</t>
  </si>
  <si>
    <t>3.打开component.ini文件，确认版本号、CPLD名称、机型是否正确，CPLD名称请参考HDM在线升级内选项的名称，例如DBCPLD、PDBSCPLD等</t>
  </si>
  <si>
    <t>4.确认是否有在线升级文件，且名称是signed.bin，注意这里的在线升级名称必须是signed.bin</t>
  </si>
  <si>
    <t>5.确认在线升级文件是否正确，可以使用beyondcompare对比，或者直接用signed.bin在HDM在线升级验证</t>
  </si>
  <si>
    <t>6.由于制作工具的问题，部分CPLD的RPM生成后，第3/4/5步有问题，检查制作工具内resource文件夹下对应CPLD名称的文件夹</t>
  </si>
  <si>
    <t>7.强制修改component.ini内的版本号信息，替换或添加正确的在线升级文件signed.bin</t>
  </si>
  <si>
    <t>二、RISER ID等相关信息</t>
  </si>
  <si>
    <t>三、常用链接</t>
  </si>
  <si>
    <t>版本</t>
  </si>
  <si>
    <t>修改内容</t>
  </si>
  <si>
    <t>修改人</t>
  </si>
  <si>
    <t>V0.5</t>
  </si>
  <si>
    <t>初稿</t>
  </si>
  <si>
    <t>王梦龙</t>
  </si>
  <si>
    <t>V0.8</t>
  </si>
  <si>
    <t>1.模板增加配套版本信息
2.模板完善逻辑自测说明
3.模板增加寄存器手册</t>
  </si>
  <si>
    <t>V0.9</t>
  </si>
  <si>
    <t>1.模板增加附录信息</t>
  </si>
  <si>
    <t>V1.0</t>
  </si>
  <si>
    <t>1.模板增加版本修改记录</t>
  </si>
  <si>
    <t>V2.0</t>
  </si>
  <si>
    <t>1.删除转测试说明页，之前该页包含版本描述和测试说明
2.新增版本描述信息页，增加版本MD5信息记录和CMO发布信息
3.新增测试说明及记录页
4.新增例行基本功能测试页</t>
  </si>
  <si>
    <t>V2.1</t>
  </si>
  <si>
    <t>1.“测试说明及记录”页，删除了“涉及模块”这一列，如有需求记录在备注列
2.“测试说明及记录”页，增加了“测试记录”这一列，记录寄存器值等测试数据
3.“测试说明及记录”页，“自测结果”这一列，所有单元格修改为下拉菜单选择
4.“版本描述信息”页，调整了模板格式，更加清晰的提供信息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</si>
</sst>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62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indexed="8"/>
      <name val="宋体"/>
      <charset val="134"/>
    </font>
    <font>
      <sz val="10"/>
      <color indexed="8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0"/>
      <color theme="10"/>
      <name val="微软雅黑"/>
      <charset val="134"/>
    </font>
    <font>
      <strike/>
      <sz val="10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10"/>
      <color theme="1"/>
      <name val="等线"/>
      <charset val="134"/>
      <scheme val="minor"/>
    </font>
    <font>
      <sz val="12"/>
      <name val="微软雅黑"/>
      <charset val="134"/>
    </font>
    <font>
      <b/>
      <sz val="20"/>
      <name val="微软雅黑"/>
      <charset val="134"/>
    </font>
    <font>
      <b/>
      <sz val="12"/>
      <name val="微软雅黑"/>
      <charset val="134"/>
    </font>
    <font>
      <b/>
      <sz val="12"/>
      <color rgb="FF0033CC"/>
      <name val="微软雅黑"/>
      <charset val="134"/>
    </font>
    <font>
      <sz val="11"/>
      <color rgb="FFFF0000"/>
      <name val="等线"/>
      <charset val="134"/>
      <scheme val="minor"/>
    </font>
    <font>
      <sz val="11"/>
      <color theme="1"/>
      <name val="微软雅黑"/>
      <charset val="134"/>
    </font>
    <font>
      <sz val="9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2"/>
      <color rgb="FF0000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10"/>
      <color rgb="FF006600"/>
      <name val="微软雅黑"/>
      <charset val="134"/>
    </font>
    <font>
      <sz val="10"/>
      <color rgb="FFC00000"/>
      <name val="微软雅黑"/>
      <charset val="134"/>
    </font>
    <font>
      <sz val="9"/>
      <name val="微软雅黑"/>
      <charset val="134"/>
    </font>
    <font>
      <u/>
      <sz val="10"/>
      <name val="等线"/>
      <charset val="134"/>
      <scheme val="minor"/>
    </font>
    <font>
      <b/>
      <sz val="11"/>
      <color rgb="FFFF0000"/>
      <name val="微软雅黑"/>
      <charset val="134"/>
    </font>
    <font>
      <b/>
      <sz val="9"/>
      <color rgb="FFFF0000"/>
      <name val="宋体"/>
      <charset val="134"/>
    </font>
    <font>
      <sz val="9"/>
      <color rgb="FF000000"/>
      <name val="宋体"/>
      <charset val="134"/>
    </font>
    <font>
      <b/>
      <sz val="16"/>
      <color theme="6" tint="0.799890133365886"/>
      <name val="微软雅黑"/>
      <charset val="134"/>
    </font>
    <font>
      <b/>
      <sz val="11"/>
      <name val="Arial Black"/>
      <charset val="134"/>
    </font>
    <font>
      <b/>
      <sz val="11"/>
      <name val="宋体"/>
      <charset val="134"/>
    </font>
    <font>
      <sz val="10"/>
      <color rgb="FF0000FF"/>
      <name val="微软雅黑"/>
      <charset val="134"/>
    </font>
    <font>
      <u/>
      <sz val="10"/>
      <color rgb="FF0000FF"/>
      <name val="微软雅黑"/>
      <charset val="134"/>
    </font>
    <font>
      <sz val="10"/>
      <name val="等线"/>
      <charset val="134"/>
    </font>
    <font>
      <sz val="10"/>
      <color rgb="FFFF0000"/>
      <name val="微软雅黑"/>
      <charset val="134"/>
    </font>
    <font>
      <sz val="10"/>
      <color rgb="FF1F497D"/>
      <name val="微软雅黑"/>
      <charset val="134"/>
    </font>
    <font>
      <sz val="11"/>
      <color rgb="FF0000FF"/>
      <name val="等线"/>
      <charset val="134"/>
      <scheme val="minor"/>
    </font>
    <font>
      <sz val="12"/>
      <name val="Times New Roman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2"/>
      <name val="宋体"/>
      <charset val="134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2"/>
      <name val="Arial"/>
      <charset val="134"/>
    </font>
    <font>
      <sz val="10"/>
      <color rgb="FF00B0F0"/>
      <name val="等线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31C5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9" fillId="0" borderId="0"/>
    <xf numFmtId="42" fontId="0" fillId="0" borderId="0" applyFont="0" applyFill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2" fillId="22" borderId="17" applyNumberFormat="0" applyAlignment="0" applyProtection="0">
      <alignment vertical="center"/>
    </xf>
    <xf numFmtId="0" fontId="53" fillId="0" borderId="0">
      <alignment vertical="center"/>
    </xf>
    <xf numFmtId="0" fontId="54" fillId="22" borderId="13" applyNumberFormat="0" applyAlignment="0" applyProtection="0">
      <alignment vertical="center"/>
    </xf>
    <xf numFmtId="0" fontId="55" fillId="23" borderId="18" applyNumberFormat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53" fillId="0" borderId="0">
      <alignment vertical="center"/>
    </xf>
    <xf numFmtId="0" fontId="40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60" fillId="0" borderId="0"/>
    <xf numFmtId="0" fontId="0" fillId="0" borderId="0">
      <alignment vertical="center"/>
    </xf>
  </cellStyleXfs>
  <cellXfs count="15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2" borderId="1" xfId="1" applyNumberFormat="1" applyFont="1" applyFill="1" applyBorder="1" applyAlignment="1" applyProtection="1">
      <alignment horizontal="left" vertical="center"/>
      <protection locked="0"/>
    </xf>
    <xf numFmtId="2" fontId="2" fillId="2" borderId="1" xfId="1" applyNumberFormat="1" applyFont="1" applyFill="1" applyBorder="1" applyAlignment="1">
      <alignment horizontal="left" vertical="center"/>
    </xf>
    <xf numFmtId="0" fontId="2" fillId="2" borderId="2" xfId="1" applyNumberFormat="1" applyFont="1" applyFill="1" applyBorder="1" applyAlignment="1">
      <alignment horizontal="left" vertical="center"/>
    </xf>
    <xf numFmtId="176" fontId="2" fillId="2" borderId="1" xfId="27" applyNumberFormat="1" applyFont="1" applyFill="1" applyBorder="1" applyAlignment="1">
      <alignment horizontal="left" vertical="center"/>
    </xf>
    <xf numFmtId="14" fontId="3" fillId="0" borderId="1" xfId="1" applyNumberFormat="1" applyFont="1" applyFill="1" applyBorder="1" applyAlignment="1" applyProtection="1">
      <alignment horizontal="left" vertical="center"/>
      <protection locked="0"/>
    </xf>
    <xf numFmtId="2" fontId="3" fillId="0" borderId="1" xfId="27" applyNumberFormat="1" applyFont="1" applyBorder="1" applyAlignment="1">
      <alignment horizontal="left" vertical="center"/>
    </xf>
    <xf numFmtId="0" fontId="3" fillId="0" borderId="2" xfId="1" applyNumberFormat="1" applyFont="1" applyFill="1" applyBorder="1" applyAlignment="1">
      <alignment horizontal="left" vertical="center"/>
    </xf>
    <xf numFmtId="176" fontId="3" fillId="0" borderId="1" xfId="27" applyNumberFormat="1" applyFont="1" applyBorder="1" applyAlignment="1">
      <alignment horizontal="left" vertical="center"/>
    </xf>
    <xf numFmtId="0" fontId="3" fillId="0" borderId="2" xfId="1" applyNumberFormat="1" applyFont="1" applyFill="1" applyBorder="1" applyAlignment="1">
      <alignment horizontal="left" vertical="center" wrapText="1"/>
    </xf>
    <xf numFmtId="14" fontId="4" fillId="0" borderId="1" xfId="1" applyNumberFormat="1" applyFont="1" applyFill="1" applyBorder="1" applyAlignment="1" applyProtection="1">
      <alignment horizontal="left" vertical="center"/>
      <protection locked="0"/>
    </xf>
    <xf numFmtId="0" fontId="3" fillId="0" borderId="2" xfId="1" applyNumberFormat="1" applyFont="1" applyFill="1" applyBorder="1" applyAlignment="1" applyProtection="1">
      <alignment horizontal="left" vertical="center" wrapText="1"/>
      <protection locked="0"/>
    </xf>
    <xf numFmtId="0" fontId="5" fillId="0" borderId="0" xfId="0" applyFont="1"/>
    <xf numFmtId="0" fontId="6" fillId="3" borderId="3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 applyBorder="1"/>
    <xf numFmtId="0" fontId="5" fillId="0" borderId="7" xfId="0" applyFont="1" applyBorder="1"/>
    <xf numFmtId="0" fontId="5" fillId="0" borderId="8" xfId="0" applyFont="1" applyBorder="1"/>
    <xf numFmtId="0" fontId="6" fillId="3" borderId="1" xfId="0" applyFont="1" applyFill="1" applyBorder="1" applyAlignment="1">
      <alignment horizontal="left"/>
    </xf>
    <xf numFmtId="0" fontId="7" fillId="0" borderId="0" xfId="1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9" fillId="0" borderId="0" xfId="0" applyFont="1"/>
    <xf numFmtId="0" fontId="8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0" fillId="0" borderId="0" xfId="0" applyFont="1"/>
    <xf numFmtId="0" fontId="0" fillId="0" borderId="0" xfId="0" applyFont="1" applyFill="1" applyAlignment="1"/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2" fillId="7" borderId="1" xfId="34" applyFont="1" applyBorder="1" applyAlignment="1">
      <alignment horizontal="center" vertical="center"/>
    </xf>
    <xf numFmtId="0" fontId="13" fillId="8" borderId="10" xfId="53" applyNumberFormat="1" applyFont="1" applyFill="1" applyBorder="1" applyAlignment="1">
      <alignment horizontal="center"/>
    </xf>
    <xf numFmtId="0" fontId="13" fillId="8" borderId="10" xfId="53" applyNumberFormat="1" applyFont="1" applyFill="1" applyBorder="1" applyAlignment="1">
      <alignment horizontal="center" vertical="center" wrapText="1"/>
    </xf>
    <xf numFmtId="0" fontId="13" fillId="8" borderId="10" xfId="53" applyNumberFormat="1" applyFont="1" applyFill="1" applyBorder="1" applyAlignment="1">
      <alignment horizontal="center" vertical="center"/>
    </xf>
    <xf numFmtId="0" fontId="13" fillId="8" borderId="1" xfId="53" applyNumberFormat="1" applyFont="1" applyFill="1" applyBorder="1" applyAlignment="1">
      <alignment horizontal="center" vertical="center" wrapText="1"/>
    </xf>
    <xf numFmtId="0" fontId="14" fillId="0" borderId="11" xfId="53" applyNumberFormat="1" applyFont="1" applyFill="1" applyBorder="1" applyAlignment="1"/>
    <xf numFmtId="0" fontId="14" fillId="0" borderId="12" xfId="53" applyNumberFormat="1" applyFont="1" applyFill="1" applyBorder="1" applyAlignment="1"/>
    <xf numFmtId="0" fontId="14" fillId="0" borderId="1" xfId="53" applyNumberFormat="1" applyFont="1" applyFill="1" applyBorder="1" applyAlignment="1"/>
    <xf numFmtId="0" fontId="14" fillId="0" borderId="1" xfId="53" applyNumberFormat="1" applyFont="1" applyFill="1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14" fillId="0" borderId="1" xfId="53" applyNumberFormat="1" applyFont="1" applyFill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14" fontId="1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14" fillId="0" borderId="11" xfId="53" applyNumberFormat="1" applyFont="1" applyFill="1" applyBorder="1" applyAlignment="1">
      <alignment horizontal="left" wrapText="1"/>
    </xf>
    <xf numFmtId="0" fontId="14" fillId="0" borderId="12" xfId="53" applyNumberFormat="1" applyFont="1" applyFill="1" applyBorder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8" borderId="1" xfId="53" applyNumberFormat="1" applyFont="1" applyFill="1" applyBorder="1" applyAlignment="1">
      <alignment horizontal="center"/>
    </xf>
    <xf numFmtId="0" fontId="13" fillId="8" borderId="1" xfId="53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vertical="center"/>
    </xf>
    <xf numFmtId="0" fontId="17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4" fillId="11" borderId="1" xfId="0" applyFont="1" applyFill="1" applyBorder="1" applyAlignment="1">
      <alignment vertical="center" wrapText="1"/>
    </xf>
    <xf numFmtId="0" fontId="11" fillId="0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12" fillId="8" borderId="1" xfId="34" applyFont="1" applyFill="1" applyBorder="1" applyAlignment="1">
      <alignment horizontal="center" vertical="center"/>
    </xf>
    <xf numFmtId="0" fontId="19" fillId="7" borderId="1" xfId="34" applyFont="1" applyBorder="1" applyAlignment="1">
      <alignment horizontal="left" vertical="center"/>
    </xf>
    <xf numFmtId="0" fontId="20" fillId="12" borderId="1" xfId="35" applyFont="1" applyFill="1" applyBorder="1" applyAlignment="1">
      <alignment horizontal="left" vertical="center"/>
    </xf>
    <xf numFmtId="0" fontId="21" fillId="0" borderId="1" xfId="35" applyFont="1" applyFill="1" applyBorder="1" applyAlignment="1">
      <alignment vertical="center"/>
    </xf>
    <xf numFmtId="0" fontId="20" fillId="12" borderId="1" xfId="35" applyFont="1" applyFill="1" applyBorder="1" applyAlignment="1">
      <alignment horizontal="center" vertical="center"/>
    </xf>
    <xf numFmtId="0" fontId="22" fillId="0" borderId="1" xfId="35" applyFont="1" applyFill="1" applyBorder="1" applyAlignment="1">
      <alignment vertical="center"/>
    </xf>
    <xf numFmtId="0" fontId="21" fillId="0" borderId="2" xfId="35" applyFont="1" applyFill="1" applyBorder="1" applyAlignment="1">
      <alignment horizontal="center" vertical="center"/>
    </xf>
    <xf numFmtId="0" fontId="21" fillId="0" borderId="1" xfId="35" applyFont="1" applyFill="1" applyBorder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22" fillId="0" borderId="1" xfId="35" applyFont="1" applyFill="1" applyBorder="1" applyAlignment="1">
      <alignment horizontal="left" vertical="center"/>
    </xf>
    <xf numFmtId="0" fontId="22" fillId="0" borderId="2" xfId="35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3" fillId="0" borderId="1" xfId="35" applyFont="1" applyFill="1" applyBorder="1" applyAlignment="1">
      <alignment horizontal="left" vertical="center"/>
    </xf>
    <xf numFmtId="0" fontId="24" fillId="0" borderId="1" xfId="35" applyFont="1" applyFill="1" applyBorder="1" applyAlignment="1">
      <alignment horizontal="left" vertical="center"/>
    </xf>
    <xf numFmtId="0" fontId="21" fillId="0" borderId="1" xfId="35" applyFont="1" applyFill="1" applyBorder="1" applyAlignment="1">
      <alignment horizontal="left" vertical="center" wrapText="1"/>
    </xf>
    <xf numFmtId="0" fontId="25" fillId="0" borderId="1" xfId="35" applyFont="1" applyFill="1" applyBorder="1" applyAlignment="1">
      <alignment horizontal="left" vertical="center"/>
    </xf>
    <xf numFmtId="0" fontId="26" fillId="0" borderId="1" xfId="11" applyFont="1" applyFill="1" applyBorder="1" applyAlignment="1">
      <alignment vertical="center"/>
    </xf>
    <xf numFmtId="0" fontId="27" fillId="12" borderId="1" xfId="35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9" fillId="9" borderId="1" xfId="0" applyFont="1" applyFill="1" applyBorder="1" applyAlignment="1">
      <alignment horizontal="left" vertical="center"/>
    </xf>
    <xf numFmtId="0" fontId="26" fillId="9" borderId="1" xfId="11" applyFont="1" applyFill="1" applyBorder="1" applyAlignment="1">
      <alignment vertical="center"/>
    </xf>
    <xf numFmtId="0" fontId="22" fillId="11" borderId="1" xfId="0" applyFont="1" applyFill="1" applyBorder="1" applyAlignment="1">
      <alignment horizontal="left" vertical="center" wrapText="1"/>
    </xf>
    <xf numFmtId="0" fontId="30" fillId="5" borderId="1" xfId="34" applyFont="1" applyFill="1" applyBorder="1" applyAlignment="1">
      <alignment horizontal="center" vertical="center"/>
    </xf>
    <xf numFmtId="0" fontId="31" fillId="13" borderId="1" xfId="35" applyFont="1" applyFill="1" applyBorder="1" applyAlignment="1">
      <alignment horizontal="center" vertical="center" wrapText="1"/>
    </xf>
    <xf numFmtId="0" fontId="20" fillId="13" borderId="1" xfId="35" applyFont="1" applyFill="1" applyBorder="1" applyAlignment="1">
      <alignment horizontal="center" vertical="center" wrapText="1"/>
    </xf>
    <xf numFmtId="0" fontId="32" fillId="13" borderId="1" xfId="35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1" fillId="13" borderId="1" xfId="35" applyFont="1" applyFill="1" applyBorder="1" applyAlignment="1">
      <alignment horizontal="left" vertical="center" wrapText="1"/>
    </xf>
    <xf numFmtId="0" fontId="22" fillId="14" borderId="2" xfId="0" applyFont="1" applyFill="1" applyBorder="1" applyAlignment="1">
      <alignment horizontal="left" vertical="center" wrapText="1"/>
    </xf>
    <xf numFmtId="0" fontId="22" fillId="14" borderId="11" xfId="0" applyFont="1" applyFill="1" applyBorder="1" applyAlignment="1">
      <alignment horizontal="left" vertical="center" wrapText="1"/>
    </xf>
    <xf numFmtId="0" fontId="22" fillId="14" borderId="12" xfId="0" applyFont="1" applyFill="1" applyBorder="1" applyAlignment="1">
      <alignment horizontal="left" vertical="center" wrapText="1"/>
    </xf>
    <xf numFmtId="0" fontId="20" fillId="13" borderId="1" xfId="35" applyFont="1" applyFill="1" applyBorder="1" applyAlignment="1">
      <alignment vertical="center" wrapText="1"/>
    </xf>
    <xf numFmtId="0" fontId="33" fillId="0" borderId="1" xfId="0" applyFont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31" fillId="13" borderId="1" xfId="35" applyFont="1" applyFill="1" applyBorder="1" applyAlignment="1">
      <alignment vertical="center" wrapText="1"/>
    </xf>
    <xf numFmtId="0" fontId="3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4" fillId="0" borderId="1" xfId="11" applyFont="1" applyBorder="1" applyAlignment="1">
      <alignment horizontal="left" vertical="center" wrapText="1"/>
    </xf>
    <xf numFmtId="0" fontId="35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vertical="center"/>
    </xf>
    <xf numFmtId="0" fontId="21" fillId="0" borderId="12" xfId="35" applyFont="1" applyFill="1" applyBorder="1" applyAlignment="1">
      <alignment horizontal="center" vertical="center"/>
    </xf>
    <xf numFmtId="0" fontId="22" fillId="0" borderId="12" xfId="35" applyFont="1" applyFill="1" applyBorder="1" applyAlignment="1">
      <alignment horizontal="left" vertical="center"/>
    </xf>
    <xf numFmtId="0" fontId="13" fillId="0" borderId="0" xfId="34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36" fillId="0" borderId="0" xfId="0" applyFont="1" applyFill="1" applyBorder="1" applyAlignment="1">
      <alignment vertical="center" wrapText="1"/>
    </xf>
    <xf numFmtId="0" fontId="37" fillId="0" borderId="0" xfId="0" applyFont="1" applyFill="1" applyBorder="1" applyAlignment="1">
      <alignment vertical="center" wrapText="1"/>
    </xf>
    <xf numFmtId="0" fontId="33" fillId="0" borderId="0" xfId="0" applyFont="1" applyBorder="1" applyAlignment="1">
      <alignment horizontal="left" vertical="center" wrapText="1"/>
    </xf>
    <xf numFmtId="0" fontId="33" fillId="0" borderId="0" xfId="0" applyFont="1" applyFill="1" applyBorder="1" applyAlignment="1">
      <alignment vertical="center" wrapText="1"/>
    </xf>
    <xf numFmtId="0" fontId="38" fillId="0" borderId="0" xfId="0" applyFont="1" applyBorder="1"/>
    <xf numFmtId="0" fontId="33" fillId="0" borderId="0" xfId="0" applyFont="1" applyFill="1" applyBorder="1" applyAlignment="1">
      <alignment horizontal="left" vertical="center" wrapText="1"/>
    </xf>
    <xf numFmtId="0" fontId="33" fillId="0" borderId="0" xfId="0" applyFont="1" applyFill="1" applyBorder="1" applyAlignment="1">
      <alignment vertical="center"/>
    </xf>
    <xf numFmtId="0" fontId="34" fillId="0" borderId="0" xfId="11" applyFont="1" applyBorder="1" applyAlignment="1">
      <alignment horizontal="left" vertical="center" wrapText="1"/>
    </xf>
  </cellXfs>
  <cellStyles count="55">
    <cellStyle name="常规" xfId="0" builtinId="0"/>
    <cellStyle name="常规_E2E计划模板-06.09.28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12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常规_sheet" xfId="27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常规 10" xfId="50"/>
    <cellStyle name="40% - 强调文字颜色 6" xfId="51" builtinId="51"/>
    <cellStyle name="60% - 强调文字颜色 6" xfId="52" builtinId="52"/>
    <cellStyle name="常规 11" xfId="53"/>
    <cellStyle name="常规 11 2" xfId="54"/>
  </cellStyles>
  <dxfs count="3">
    <dxf>
      <font>
        <strike val="0"/>
        <color indexed="22"/>
      </font>
      <fill>
        <patternFill patternType="none"/>
      </fill>
    </dxf>
    <dxf>
      <font>
        <color indexed="10"/>
      </font>
      <fill>
        <patternFill patternType="none"/>
      </fill>
    </dxf>
    <dxf>
      <font>
        <color indexed="12"/>
      </font>
    </dxf>
  </dxfs>
  <tableStyles count="0" defaultTableStyle="TableStyleMedium2" defaultPivotStyle="PivotStyleLight16"/>
  <colors>
    <mruColors>
      <color rgb="000000FF"/>
      <color rgb="0000CC00"/>
      <color rgb="0031C531"/>
      <color rgb="0033CC33"/>
      <color rgb="00006600"/>
      <color rgb="00800000"/>
      <color rgb="00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1755878</xdr:colOff>
      <xdr:row>5</xdr:row>
      <xdr:rowOff>393802</xdr:rowOff>
    </xdr:from>
    <xdr:to>
      <xdr:col>5</xdr:col>
      <xdr:colOff>1755878</xdr:colOff>
      <xdr:row>10</xdr:row>
      <xdr:rowOff>47628</xdr:rowOff>
    </xdr:to>
    <xdr:cxnSp>
      <xdr:nvCxnSpPr>
        <xdr:cNvPr id="4" name="直接箭头连接符 3"/>
        <xdr:cNvCxnSpPr/>
      </xdr:nvCxnSpPr>
      <xdr:spPr>
        <a:xfrm>
          <a:off x="12614275" y="3098800"/>
          <a:ext cx="0" cy="13493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63900" y="238125"/>
          <a:ext cx="5970905" cy="186626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17</xdr:col>
      <xdr:colOff>0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63900" y="2295525"/>
          <a:ext cx="8020050" cy="98996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02000" y="3514725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40100" y="6153150"/>
          <a:ext cx="5980430" cy="6470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32</xdr:col>
      <xdr:colOff>0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68675" y="7048500"/>
          <a:ext cx="18202275" cy="8185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2</xdr:row>
      <xdr:rowOff>28575</xdr:rowOff>
    </xdr:from>
    <xdr:to>
      <xdr:col>2</xdr:col>
      <xdr:colOff>1913630</xdr:colOff>
      <xdr:row>30</xdr:row>
      <xdr:rowOff>142261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209550"/>
          <a:ext cx="766762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180975</xdr:colOff>
      <xdr:row>32</xdr:row>
      <xdr:rowOff>66675</xdr:rowOff>
    </xdr:from>
    <xdr:to>
      <xdr:col>2</xdr:col>
      <xdr:colOff>494593</xdr:colOff>
      <xdr:row>40</xdr:row>
      <xdr:rowOff>28408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975" y="209550"/>
          <a:ext cx="6513830" cy="0"/>
        </a:xfrm>
        <a:prstGeom prst="rect">
          <a:avLst/>
        </a:prstGeom>
        <a:ln w="19050">
          <a:solidFill>
            <a:srgbClr val="7030A0"/>
          </a:solidFill>
        </a:ln>
      </xdr:spPr>
    </xdr:pic>
    <xdr:clientData/>
  </xdr:twoCellAnchor>
  <xdr:twoCellAnchor>
    <xdr:from>
      <xdr:col>0</xdr:col>
      <xdr:colOff>171450</xdr:colOff>
      <xdr:row>40</xdr:row>
      <xdr:rowOff>104775</xdr:rowOff>
    </xdr:from>
    <xdr:to>
      <xdr:col>2</xdr:col>
      <xdr:colOff>656497</xdr:colOff>
      <xdr:row>53</xdr:row>
      <xdr:rowOff>123544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450" y="209550"/>
          <a:ext cx="6685280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142875</xdr:colOff>
      <xdr:row>55</xdr:row>
      <xdr:rowOff>47625</xdr:rowOff>
    </xdr:from>
    <xdr:to>
      <xdr:col>2</xdr:col>
      <xdr:colOff>351731</xdr:colOff>
      <xdr:row>62</xdr:row>
      <xdr:rowOff>133189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2875" y="209550"/>
          <a:ext cx="64090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114300</xdr:colOff>
      <xdr:row>65</xdr:row>
      <xdr:rowOff>57150</xdr:rowOff>
    </xdr:from>
    <xdr:to>
      <xdr:col>1</xdr:col>
      <xdr:colOff>4076092</xdr:colOff>
      <xdr:row>78</xdr:row>
      <xdr:rowOff>75919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300" y="209550"/>
          <a:ext cx="499046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123825</xdr:colOff>
      <xdr:row>80</xdr:row>
      <xdr:rowOff>95250</xdr:rowOff>
    </xdr:from>
    <xdr:to>
      <xdr:col>2</xdr:col>
      <xdr:colOff>494586</xdr:colOff>
      <xdr:row>103</xdr:row>
      <xdr:rowOff>85234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825" y="209550"/>
          <a:ext cx="6570980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h3chznt06\RD2014&#20135;&#21697;&#31649;&#29702;&#37096;_2\02_RACK_PDT&#29256;&#26412;&#24211;\01_HW\01_&#29256;&#26412;&#24211;\06_IT Rack V500R005\01_RS65M2C11S\CPLD\" TargetMode="External"/><Relationship Id="rId1" Type="http://schemas.openxmlformats.org/officeDocument/2006/relationships/hyperlink" Target="file:///\\h3chznt06\RD2014&#20135;&#21697;&#31649;&#29702;&#37096;_2\02_RACK_PDT&#29256;&#26412;&#24211;\01_HW\02_&#28304;&#20195;&#30721;\06_IT Rack V500R005\01_RS65M2C11S\CPL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N46"/>
  <sheetViews>
    <sheetView tabSelected="1" workbookViewId="0">
      <selection activeCell="B9" sqref="B9"/>
    </sheetView>
  </sheetViews>
  <sheetFormatPr defaultColWidth="9" defaultRowHeight="13.5"/>
  <cols>
    <col min="1" max="1" width="13.625" style="97" customWidth="1"/>
    <col min="2" max="2" width="26.75" customWidth="1"/>
    <col min="3" max="3" width="13.25" customWidth="1"/>
    <col min="4" max="4" width="19.625" style="1" customWidth="1"/>
    <col min="5" max="5" width="14.625" customWidth="1"/>
    <col min="6" max="6" width="24.75" customWidth="1"/>
    <col min="7" max="7" width="16.25" customWidth="1"/>
    <col min="8" max="8" width="13.25" customWidth="1"/>
    <col min="9" max="9" width="34.625" customWidth="1"/>
    <col min="12" max="12" width="28.75" customWidth="1"/>
  </cols>
  <sheetData>
    <row r="1" s="48" customFormat="1" ht="29.25" spans="1:9">
      <c r="A1" s="98" t="s">
        <v>0</v>
      </c>
      <c r="B1" s="98"/>
      <c r="C1" s="98"/>
      <c r="D1" s="98"/>
      <c r="E1" s="98"/>
      <c r="F1" s="98"/>
      <c r="G1" s="98"/>
      <c r="H1" s="98"/>
      <c r="I1" s="98"/>
    </row>
    <row r="2" s="48" customFormat="1" ht="18" spans="1:9">
      <c r="A2" s="99" t="s">
        <v>1</v>
      </c>
      <c r="B2" s="99"/>
      <c r="C2" s="99"/>
      <c r="D2" s="99"/>
      <c r="E2" s="99"/>
      <c r="F2" s="99"/>
      <c r="G2" s="99"/>
      <c r="H2" s="99"/>
      <c r="I2" s="99"/>
    </row>
    <row r="3" s="48" customFormat="1" ht="17.25" spans="1:9">
      <c r="A3" s="100" t="s">
        <v>2</v>
      </c>
      <c r="B3" s="101" t="s">
        <v>3</v>
      </c>
      <c r="C3" s="102" t="s">
        <v>4</v>
      </c>
      <c r="D3" s="103"/>
      <c r="E3" s="102" t="s">
        <v>5</v>
      </c>
      <c r="F3" s="103" t="s">
        <v>6</v>
      </c>
      <c r="G3" s="102"/>
      <c r="H3" s="104"/>
      <c r="I3" s="140"/>
    </row>
    <row r="4" s="48" customFormat="1" ht="17.25" spans="1:9">
      <c r="A4" s="100" t="s">
        <v>7</v>
      </c>
      <c r="B4" s="105" t="s">
        <v>8</v>
      </c>
      <c r="C4" s="102" t="s">
        <v>9</v>
      </c>
      <c r="D4" s="106"/>
      <c r="E4" s="102" t="s">
        <v>10</v>
      </c>
      <c r="F4" s="107"/>
      <c r="G4" s="102" t="s">
        <v>11</v>
      </c>
      <c r="H4" s="108"/>
      <c r="I4" s="141"/>
    </row>
    <row r="5" s="48" customFormat="1" ht="17.25" spans="1:9">
      <c r="A5" s="100" t="s">
        <v>12</v>
      </c>
      <c r="B5" s="107" t="s">
        <v>13</v>
      </c>
      <c r="C5" s="102" t="s">
        <v>14</v>
      </c>
      <c r="D5" s="107" t="s">
        <v>15</v>
      </c>
      <c r="E5" s="102" t="s">
        <v>16</v>
      </c>
      <c r="F5" s="107" t="s">
        <v>17</v>
      </c>
      <c r="G5" s="102" t="s">
        <v>18</v>
      </c>
      <c r="H5" s="106" t="s">
        <v>19</v>
      </c>
      <c r="I5" s="106"/>
    </row>
    <row r="6" s="48" customFormat="1" ht="18" spans="1:9">
      <c r="A6" s="99" t="s">
        <v>20</v>
      </c>
      <c r="B6" s="99"/>
      <c r="C6" s="99"/>
      <c r="D6" s="99"/>
      <c r="E6" s="99"/>
      <c r="F6" s="99"/>
      <c r="G6" s="99"/>
      <c r="H6" s="99"/>
      <c r="I6" s="99"/>
    </row>
    <row r="7" s="48" customFormat="1" ht="17.25" spans="1:9">
      <c r="A7" s="100" t="s">
        <v>21</v>
      </c>
      <c r="B7" s="107" t="s">
        <v>22</v>
      </c>
      <c r="C7" s="102" t="s">
        <v>23</v>
      </c>
      <c r="D7" s="109" t="s">
        <v>24</v>
      </c>
      <c r="E7" s="109"/>
      <c r="F7" s="109"/>
      <c r="G7" s="109"/>
      <c r="H7" s="109"/>
      <c r="I7" s="109"/>
    </row>
    <row r="8" s="48" customFormat="1" ht="17.25" spans="1:9">
      <c r="A8" s="100" t="s">
        <v>25</v>
      </c>
      <c r="B8" s="107"/>
      <c r="C8" s="102" t="s">
        <v>26</v>
      </c>
      <c r="D8" s="110"/>
      <c r="E8" s="102" t="s">
        <v>27</v>
      </c>
      <c r="F8" s="110"/>
      <c r="G8" s="110"/>
      <c r="H8" s="102" t="s">
        <v>28</v>
      </c>
      <c r="I8" s="100" t="s">
        <v>29</v>
      </c>
    </row>
    <row r="9" s="48" customFormat="1" ht="17.25" spans="1:9">
      <c r="A9" s="100" t="s">
        <v>30</v>
      </c>
      <c r="B9" s="107"/>
      <c r="C9" s="102" t="s">
        <v>26</v>
      </c>
      <c r="D9" s="110"/>
      <c r="E9" s="102" t="s">
        <v>27</v>
      </c>
      <c r="F9" s="110"/>
      <c r="G9" s="110"/>
      <c r="H9" s="102" t="s">
        <v>28</v>
      </c>
      <c r="I9" s="100" t="s">
        <v>31</v>
      </c>
    </row>
    <row r="10" s="48" customFormat="1" ht="17.25" spans="1:9">
      <c r="A10" s="100" t="s">
        <v>32</v>
      </c>
      <c r="B10" s="107"/>
      <c r="C10" s="102" t="s">
        <v>26</v>
      </c>
      <c r="D10" s="111"/>
      <c r="E10" s="102" t="s">
        <v>27</v>
      </c>
      <c r="F10" s="111"/>
      <c r="G10" s="111"/>
      <c r="H10" s="102" t="s">
        <v>28</v>
      </c>
      <c r="I10" s="100" t="s">
        <v>33</v>
      </c>
    </row>
    <row r="11" s="48" customFormat="1" ht="17.25" spans="1:9">
      <c r="A11" s="100" t="s">
        <v>34</v>
      </c>
      <c r="B11" s="107"/>
      <c r="C11" s="102" t="s">
        <v>26</v>
      </c>
      <c r="D11" s="111"/>
      <c r="E11" s="102" t="s">
        <v>27</v>
      </c>
      <c r="F11" s="111"/>
      <c r="G11" s="111"/>
      <c r="H11" s="102" t="s">
        <v>28</v>
      </c>
      <c r="I11" s="100" t="s">
        <v>35</v>
      </c>
    </row>
    <row r="12" s="48" customFormat="1" ht="50.25" customHeight="1" spans="1:9">
      <c r="A12" s="100" t="s">
        <v>36</v>
      </c>
      <c r="B12" s="112" t="s">
        <v>37</v>
      </c>
      <c r="C12" s="105"/>
      <c r="D12" s="105"/>
      <c r="E12" s="105"/>
      <c r="F12" s="105"/>
      <c r="G12" s="105"/>
      <c r="H12" s="105"/>
      <c r="I12" s="105"/>
    </row>
    <row r="13" s="48" customFormat="1" ht="18" spans="1:9">
      <c r="A13" s="99" t="s">
        <v>38</v>
      </c>
      <c r="B13" s="99"/>
      <c r="C13" s="99"/>
      <c r="D13" s="99"/>
      <c r="E13" s="99"/>
      <c r="F13" s="99"/>
      <c r="G13" s="99"/>
      <c r="H13" s="99"/>
      <c r="I13" s="99"/>
    </row>
    <row r="14" s="48" customFormat="1" ht="17.25" spans="1:9">
      <c r="A14" s="100" t="s">
        <v>39</v>
      </c>
      <c r="B14" s="113"/>
      <c r="C14" s="102" t="s">
        <v>40</v>
      </c>
      <c r="D14" s="114"/>
      <c r="E14" s="114"/>
      <c r="F14" s="114"/>
      <c r="G14" s="114"/>
      <c r="H14" s="114"/>
      <c r="I14" s="114"/>
    </row>
    <row r="15" s="48" customFormat="1" ht="17.25" spans="1:9">
      <c r="A15" s="100" t="s">
        <v>41</v>
      </c>
      <c r="B15" s="113"/>
      <c r="C15" s="102" t="s">
        <v>40</v>
      </c>
      <c r="D15" s="114"/>
      <c r="E15" s="114"/>
      <c r="F15" s="114"/>
      <c r="G15" s="114"/>
      <c r="H15" s="114"/>
      <c r="I15" s="114"/>
    </row>
    <row r="16" s="48" customFormat="1" ht="17.25" spans="1:9">
      <c r="A16" s="115" t="s">
        <v>42</v>
      </c>
      <c r="B16" s="116"/>
      <c r="C16" s="102" t="s">
        <v>40</v>
      </c>
      <c r="D16" s="114"/>
      <c r="E16" s="103"/>
      <c r="F16" s="103"/>
      <c r="G16" s="103"/>
      <c r="H16" s="103"/>
      <c r="I16" s="103"/>
    </row>
    <row r="17" s="96" customFormat="1" ht="17.25" spans="1:9">
      <c r="A17" s="100" t="s">
        <v>43</v>
      </c>
      <c r="B17" s="117"/>
      <c r="C17" s="102" t="s">
        <v>40</v>
      </c>
      <c r="D17" s="118"/>
      <c r="E17" s="118"/>
      <c r="F17" s="118"/>
      <c r="G17" s="118"/>
      <c r="H17" s="118"/>
      <c r="I17" s="118"/>
    </row>
    <row r="18" s="48" customFormat="1" ht="17.25" spans="1:9">
      <c r="A18" s="100" t="s">
        <v>44</v>
      </c>
      <c r="B18" s="117"/>
      <c r="C18" s="102" t="s">
        <v>40</v>
      </c>
      <c r="D18" s="118"/>
      <c r="E18" s="118"/>
      <c r="F18" s="118"/>
      <c r="G18" s="118"/>
      <c r="H18" s="118"/>
      <c r="I18" s="118"/>
    </row>
    <row r="19" s="48" customFormat="1" ht="17.25" spans="1:9">
      <c r="A19" s="100" t="s">
        <v>45</v>
      </c>
      <c r="B19" s="117"/>
      <c r="C19" s="102" t="s">
        <v>40</v>
      </c>
      <c r="D19" s="118"/>
      <c r="E19" s="118"/>
      <c r="F19" s="118"/>
      <c r="G19" s="118"/>
      <c r="H19" s="118"/>
      <c r="I19" s="118"/>
    </row>
    <row r="20" s="48" customFormat="1" ht="17.25" spans="1:9">
      <c r="A20" s="100" t="s">
        <v>46</v>
      </c>
      <c r="B20" s="117"/>
      <c r="C20" s="102" t="s">
        <v>40</v>
      </c>
      <c r="D20" s="118"/>
      <c r="E20" s="118"/>
      <c r="F20" s="118"/>
      <c r="G20" s="118"/>
      <c r="H20" s="118"/>
      <c r="I20" s="118"/>
    </row>
    <row r="21" s="48" customFormat="1" ht="17.25" spans="1:9">
      <c r="A21" s="100" t="s">
        <v>47</v>
      </c>
      <c r="B21" s="117"/>
      <c r="C21" s="102" t="s">
        <v>40</v>
      </c>
      <c r="D21" s="118"/>
      <c r="E21" s="118"/>
      <c r="F21" s="118"/>
      <c r="G21" s="118"/>
      <c r="H21" s="118"/>
      <c r="I21" s="118"/>
    </row>
    <row r="22" s="48" customFormat="1" ht="18" spans="1:9">
      <c r="A22" s="99" t="s">
        <v>48</v>
      </c>
      <c r="B22" s="99"/>
      <c r="C22" s="99"/>
      <c r="D22" s="99"/>
      <c r="E22" s="99"/>
      <c r="F22" s="99"/>
      <c r="G22" s="99"/>
      <c r="H22" s="99"/>
      <c r="I22" s="99"/>
    </row>
    <row r="23" s="48" customFormat="1" ht="17.25" spans="1:9">
      <c r="A23" s="100" t="s">
        <v>49</v>
      </c>
      <c r="B23" s="119" t="s">
        <v>50</v>
      </c>
      <c r="C23" s="119"/>
      <c r="D23" s="119"/>
      <c r="E23" s="119"/>
      <c r="F23" s="119"/>
      <c r="G23" s="119"/>
      <c r="H23" s="119"/>
      <c r="I23" s="119"/>
    </row>
    <row r="24" s="48" customFormat="1" ht="17.25" customHeight="1" spans="1:9">
      <c r="A24" s="100" t="s">
        <v>51</v>
      </c>
      <c r="B24" s="119" t="s">
        <v>52</v>
      </c>
      <c r="C24" s="119"/>
      <c r="D24" s="119"/>
      <c r="E24" s="119"/>
      <c r="F24" s="119"/>
      <c r="G24" s="119"/>
      <c r="H24" s="119"/>
      <c r="I24" s="119"/>
    </row>
    <row r="25" s="48" customFormat="1" ht="17.25" customHeight="1" spans="1:9">
      <c r="A25" s="100" t="s">
        <v>53</v>
      </c>
      <c r="B25" s="119" t="s">
        <v>54</v>
      </c>
      <c r="C25" s="119"/>
      <c r="D25" s="119"/>
      <c r="E25" s="119"/>
      <c r="F25" s="119"/>
      <c r="G25" s="119"/>
      <c r="H25" s="119"/>
      <c r="I25" s="119"/>
    </row>
    <row r="26" s="48" customFormat="1" ht="17.25" spans="1:9">
      <c r="A26" s="100" t="s">
        <v>55</v>
      </c>
      <c r="B26" s="109"/>
      <c r="C26" s="109"/>
      <c r="D26" s="109"/>
      <c r="E26" s="109"/>
      <c r="F26" s="109"/>
      <c r="G26" s="109"/>
      <c r="H26" s="109"/>
      <c r="I26" s="109"/>
    </row>
    <row r="28" ht="24.95" customHeight="1" spans="2:14">
      <c r="B28" s="120" t="s">
        <v>56</v>
      </c>
      <c r="C28" s="120"/>
      <c r="D28" s="120"/>
      <c r="E28" s="120"/>
      <c r="F28" s="120"/>
      <c r="G28" s="120"/>
      <c r="H28" s="120"/>
      <c r="I28" s="142"/>
      <c r="N28" s="143"/>
    </row>
    <row r="29" ht="20.1" customHeight="1" spans="2:14">
      <c r="B29" s="121" t="s">
        <v>57</v>
      </c>
      <c r="C29" s="121" t="s">
        <v>58</v>
      </c>
      <c r="D29" s="122" t="s">
        <v>59</v>
      </c>
      <c r="E29" s="123" t="s">
        <v>60</v>
      </c>
      <c r="F29" s="122" t="s">
        <v>61</v>
      </c>
      <c r="G29" s="121" t="s">
        <v>62</v>
      </c>
      <c r="H29" s="122" t="s">
        <v>63</v>
      </c>
      <c r="I29" s="144"/>
      <c r="N29" s="143"/>
    </row>
    <row r="30" ht="20.1" customHeight="1" spans="2:14">
      <c r="B30" s="124"/>
      <c r="C30" s="124"/>
      <c r="D30" s="124"/>
      <c r="E30" s="124"/>
      <c r="F30" s="124"/>
      <c r="G30" s="125"/>
      <c r="H30" s="125"/>
      <c r="I30" s="145"/>
      <c r="N30" s="143"/>
    </row>
    <row r="31" ht="20.1" customHeight="1" spans="2:14">
      <c r="B31" s="126" t="s">
        <v>64</v>
      </c>
      <c r="C31" s="127" t="s">
        <v>65</v>
      </c>
      <c r="D31" s="128"/>
      <c r="E31" s="128"/>
      <c r="F31" s="128"/>
      <c r="G31" s="128"/>
      <c r="H31" s="129"/>
      <c r="I31" s="146"/>
      <c r="J31" s="138"/>
      <c r="K31" s="138"/>
      <c r="L31" s="138"/>
      <c r="N31" s="143"/>
    </row>
    <row r="32" ht="16.5" spans="2:14">
      <c r="B32" s="130" t="s">
        <v>66</v>
      </c>
      <c r="C32" s="131" t="s">
        <v>67</v>
      </c>
      <c r="D32" s="131"/>
      <c r="E32" s="131"/>
      <c r="F32" s="131"/>
      <c r="G32" s="131"/>
      <c r="H32" s="131"/>
      <c r="I32" s="147"/>
      <c r="J32" s="147"/>
      <c r="K32" s="147"/>
      <c r="L32" s="147"/>
      <c r="N32" s="143"/>
    </row>
    <row r="33" ht="20.1" customHeight="1" spans="2:14">
      <c r="B33" s="130" t="s">
        <v>68</v>
      </c>
      <c r="C33" s="131" t="s">
        <v>69</v>
      </c>
      <c r="D33" s="131"/>
      <c r="E33" s="131"/>
      <c r="F33" s="131"/>
      <c r="G33" s="131"/>
      <c r="H33" s="131"/>
      <c r="I33" s="147"/>
      <c r="J33" s="147"/>
      <c r="K33" s="147"/>
      <c r="L33" s="147"/>
      <c r="N33" s="143"/>
    </row>
    <row r="34" ht="20.1" customHeight="1" spans="2:14">
      <c r="B34" s="130" t="s">
        <v>70</v>
      </c>
      <c r="C34" s="132" t="s">
        <v>71</v>
      </c>
      <c r="D34" s="132"/>
      <c r="E34" s="132"/>
      <c r="F34" s="132"/>
      <c r="G34" s="132"/>
      <c r="H34" s="132"/>
      <c r="I34" s="148"/>
      <c r="J34" s="149"/>
      <c r="K34" s="149"/>
      <c r="L34" s="149"/>
      <c r="N34" s="143"/>
    </row>
    <row r="35" ht="20.1" customHeight="1" spans="2:14">
      <c r="B35" s="133" t="s">
        <v>72</v>
      </c>
      <c r="C35" s="132" t="s">
        <v>73</v>
      </c>
      <c r="D35" s="132"/>
      <c r="E35" s="132"/>
      <c r="F35" s="132"/>
      <c r="G35" s="132"/>
      <c r="H35" s="132"/>
      <c r="I35" s="148"/>
      <c r="J35" s="149"/>
      <c r="K35" s="149"/>
      <c r="L35" s="149"/>
      <c r="N35" s="143"/>
    </row>
    <row r="36" ht="20.1" customHeight="1" spans="2:14">
      <c r="B36" s="133" t="s">
        <v>74</v>
      </c>
      <c r="C36" s="132" t="s">
        <v>75</v>
      </c>
      <c r="D36" s="132"/>
      <c r="E36" s="132"/>
      <c r="F36" s="132"/>
      <c r="G36" s="132"/>
      <c r="H36" s="132"/>
      <c r="I36" s="148"/>
      <c r="J36" s="149"/>
      <c r="K36" s="149"/>
      <c r="L36" s="149"/>
      <c r="N36" s="143"/>
    </row>
    <row r="37" ht="20.1" customHeight="1" spans="2:12">
      <c r="B37" s="133" t="s">
        <v>76</v>
      </c>
      <c r="C37" s="134" t="s">
        <v>77</v>
      </c>
      <c r="D37" s="135"/>
      <c r="E37" s="135"/>
      <c r="F37" s="135"/>
      <c r="G37" s="135"/>
      <c r="H37" s="135"/>
      <c r="I37" s="150"/>
      <c r="J37" s="150"/>
      <c r="K37" s="150"/>
      <c r="L37" s="150"/>
    </row>
    <row r="38" ht="20.1" customHeight="1" spans="2:12">
      <c r="B38" s="133" t="s">
        <v>78</v>
      </c>
      <c r="C38" s="132" t="s">
        <v>79</v>
      </c>
      <c r="D38" s="132"/>
      <c r="E38" s="132"/>
      <c r="F38" s="132"/>
      <c r="G38" s="132"/>
      <c r="H38" s="132"/>
      <c r="I38" s="148"/>
      <c r="J38" s="149"/>
      <c r="K38" s="149"/>
      <c r="L38" s="149"/>
    </row>
    <row r="39" ht="20.1" customHeight="1" spans="2:12">
      <c r="B39" s="130" t="s">
        <v>80</v>
      </c>
      <c r="C39" s="132" t="s">
        <v>81</v>
      </c>
      <c r="D39" s="132"/>
      <c r="E39" s="132"/>
      <c r="F39" s="132"/>
      <c r="G39" s="132"/>
      <c r="H39" s="132"/>
      <c r="I39" s="148"/>
      <c r="J39" s="149"/>
      <c r="K39" s="149"/>
      <c r="L39" s="149"/>
    </row>
    <row r="40" ht="20.1" customHeight="1" spans="2:12">
      <c r="B40" s="133" t="s">
        <v>82</v>
      </c>
      <c r="C40" s="131" t="s">
        <v>83</v>
      </c>
      <c r="D40" s="131"/>
      <c r="E40" s="131"/>
      <c r="F40" s="131"/>
      <c r="G40" s="131"/>
      <c r="H40" s="131"/>
      <c r="I40" s="151"/>
      <c r="J40" s="149"/>
      <c r="K40" s="149"/>
      <c r="L40" s="149"/>
    </row>
    <row r="41" ht="20.1" customHeight="1" spans="2:14">
      <c r="B41" s="133" t="s">
        <v>84</v>
      </c>
      <c r="C41" s="136" t="s">
        <v>85</v>
      </c>
      <c r="D41" s="136"/>
      <c r="E41" s="136"/>
      <c r="F41" s="136"/>
      <c r="G41" s="136"/>
      <c r="H41" s="136"/>
      <c r="I41" s="152"/>
      <c r="J41" s="152"/>
      <c r="K41" s="152"/>
      <c r="L41" s="152"/>
      <c r="N41" s="143"/>
    </row>
    <row r="42" ht="20.1" customHeight="1" spans="2:12">
      <c r="B42" s="133" t="s">
        <v>86</v>
      </c>
      <c r="C42" s="136" t="s">
        <v>87</v>
      </c>
      <c r="D42" s="136"/>
      <c r="E42" s="136"/>
      <c r="F42" s="136"/>
      <c r="G42" s="136"/>
      <c r="H42" s="136"/>
      <c r="I42" s="152"/>
      <c r="J42" s="152"/>
      <c r="K42" s="152"/>
      <c r="L42" s="152"/>
    </row>
    <row r="43" ht="20.1" customHeight="1" spans="2:12">
      <c r="B43" s="130" t="s">
        <v>88</v>
      </c>
      <c r="C43" s="136" t="s">
        <v>89</v>
      </c>
      <c r="D43" s="136"/>
      <c r="E43" s="136"/>
      <c r="F43" s="136"/>
      <c r="G43" s="136"/>
      <c r="H43" s="136"/>
      <c r="I43" s="152"/>
      <c r="J43" s="152"/>
      <c r="K43" s="152"/>
      <c r="L43" s="152"/>
    </row>
    <row r="44" ht="20.1" customHeight="1" spans="2:12">
      <c r="B44" s="130" t="s">
        <v>90</v>
      </c>
      <c r="C44" s="136" t="s">
        <v>91</v>
      </c>
      <c r="D44" s="136"/>
      <c r="E44" s="136"/>
      <c r="F44" s="136"/>
      <c r="G44" s="136"/>
      <c r="H44" s="136"/>
      <c r="I44" s="152"/>
      <c r="J44" s="152"/>
      <c r="K44" s="152"/>
      <c r="L44" s="152"/>
    </row>
    <row r="45" spans="2:8">
      <c r="B45" s="137" t="s">
        <v>92</v>
      </c>
      <c r="C45" s="138"/>
      <c r="D45" s="139"/>
      <c r="E45" s="138"/>
      <c r="F45" s="138"/>
      <c r="G45" s="138"/>
      <c r="H45" s="138"/>
    </row>
    <row r="46" spans="2:2">
      <c r="B46" s="137" t="s">
        <v>93</v>
      </c>
    </row>
  </sheetData>
  <mergeCells count="47">
    <mergeCell ref="A1:I1"/>
    <mergeCell ref="A2:I2"/>
    <mergeCell ref="H3:I3"/>
    <mergeCell ref="H4:I4"/>
    <mergeCell ref="A6:I6"/>
    <mergeCell ref="D7:I7"/>
    <mergeCell ref="F8:G8"/>
    <mergeCell ref="F9:G9"/>
    <mergeCell ref="F10:G10"/>
    <mergeCell ref="F11:G11"/>
    <mergeCell ref="B12:I12"/>
    <mergeCell ref="A13:I13"/>
    <mergeCell ref="D14:I14"/>
    <mergeCell ref="D15:I15"/>
    <mergeCell ref="D16:I16"/>
    <mergeCell ref="D17:I17"/>
    <mergeCell ref="D18:I18"/>
    <mergeCell ref="D19:I19"/>
    <mergeCell ref="D20:I20"/>
    <mergeCell ref="D21:I21"/>
    <mergeCell ref="A22:I22"/>
    <mergeCell ref="B23:I23"/>
    <mergeCell ref="B24:I24"/>
    <mergeCell ref="B25:I25"/>
    <mergeCell ref="B26:I26"/>
    <mergeCell ref="B28:H28"/>
    <mergeCell ref="C31:H31"/>
    <mergeCell ref="C32:H32"/>
    <mergeCell ref="I32:L32"/>
    <mergeCell ref="C33:H33"/>
    <mergeCell ref="I33:L33"/>
    <mergeCell ref="C34:H34"/>
    <mergeCell ref="C35:H35"/>
    <mergeCell ref="C36:H36"/>
    <mergeCell ref="C37:H37"/>
    <mergeCell ref="I37:L37"/>
    <mergeCell ref="C38:H38"/>
    <mergeCell ref="C39:H39"/>
    <mergeCell ref="C40:H40"/>
    <mergeCell ref="C41:H41"/>
    <mergeCell ref="I41:L41"/>
    <mergeCell ref="C42:H42"/>
    <mergeCell ref="I42:L42"/>
    <mergeCell ref="C43:H43"/>
    <mergeCell ref="I43:L43"/>
    <mergeCell ref="C44:H44"/>
    <mergeCell ref="I44:L44"/>
  </mergeCells>
  <dataValidations count="7">
    <dataValidation type="list" allowBlank="1" showInputMessage="1" showErrorMessage="1" sqref="D30">
      <formula1>"CPLD,EEPROM"</formula1>
    </dataValidation>
    <dataValidation type="list" allowBlank="1" showInputMessage="1" showErrorMessage="1" sqref="C39">
      <formula1>"是,否"</formula1>
    </dataValidation>
    <dataValidation type="list" allowBlank="1" showInputMessage="1" showErrorMessage="1" sqref="C36">
      <formula1>"生产,技术支援,生产和技术支援"</formula1>
    </dataValidation>
    <dataValidation type="list" allowBlank="1" showInputMessage="1" showErrorMessage="1" sqref="C31">
      <formula1>"首次发布,年度版本,有新增特性,解决问题,器件替代"</formula1>
    </dataValidation>
    <dataValidation type="list" allowBlank="1" showInputMessage="1" showErrorMessage="1" sqref="C35">
      <formula1>"国内,海外,国内和海外"</formula1>
    </dataValidation>
    <dataValidation type="list" allowBlank="1" showInputMessage="1" showErrorMessage="1" sqref="C34">
      <formula1>"TR4-TR4A,TR4A-TR5,TR5,TR5终止,TR5-TR6,TR6,TR6以后"</formula1>
    </dataValidation>
    <dataValidation type="list" allowBlank="1" showInputMessage="1" showErrorMessage="1" sqref="C38">
      <formula1>"一次性加工,正常加工"</formula1>
    </dataValidation>
  </dataValidations>
  <hyperlinks>
    <hyperlink ref="C42" r:id="rId1" display="&lt;06服务器归档地址，工程打包注意删除不必要的文件&gt;"/>
    <hyperlink ref="C41" r:id="rId2" display="&lt;06服务器归档地址，注意必须和转测试的文件完成一致，不允许重新编译，重新编译必须重新转测试&gt;"/>
    <hyperlink ref="C44" r:id="rId2" display="&lt;06服务器归档地址，包含转测试说明(硬件开发提供)和版本测试报告(硬件测试提供)&gt;"/>
    <hyperlink ref="C43" r:id="rId2" display="&lt;06服务器归档地址，包含版本描述文件和加载说明书(生产使用)、版本说明和版本使用指导(用服使用，注意标准化)&gt;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/>
  </sheetPr>
  <dimension ref="A1:I21"/>
  <sheetViews>
    <sheetView workbookViewId="0">
      <selection activeCell="D27" sqref="D27"/>
    </sheetView>
  </sheetViews>
  <sheetFormatPr defaultColWidth="9" defaultRowHeight="13.5"/>
  <cols>
    <col min="1" max="1" width="9.75" customWidth="1"/>
    <col min="2" max="2" width="17.5" customWidth="1"/>
    <col min="3" max="3" width="20.625" style="1" customWidth="1"/>
    <col min="4" max="4" width="60.375" customWidth="1"/>
    <col min="5" max="5" width="34.25" customWidth="1"/>
    <col min="6" max="6" width="55.375" customWidth="1"/>
    <col min="7" max="7" width="9.75" style="2" customWidth="1"/>
    <col min="8" max="8" width="12.25" customWidth="1"/>
    <col min="9" max="9" width="10.25" customWidth="1"/>
    <col min="12" max="12" width="28.75" customWidth="1"/>
  </cols>
  <sheetData>
    <row r="1" s="48" customFormat="1" ht="29.25" spans="1:9">
      <c r="A1" s="51" t="s">
        <v>94</v>
      </c>
      <c r="B1" s="51"/>
      <c r="C1" s="51"/>
      <c r="D1" s="51"/>
      <c r="E1" s="51"/>
      <c r="F1" s="51"/>
      <c r="G1" s="51"/>
      <c r="H1" s="51"/>
      <c r="I1" s="51"/>
    </row>
    <row r="2" ht="18" spans="1:9">
      <c r="A2" s="83" t="s">
        <v>95</v>
      </c>
      <c r="B2" s="83" t="s">
        <v>96</v>
      </c>
      <c r="C2" s="55" t="s">
        <v>97</v>
      </c>
      <c r="D2" s="83" t="s">
        <v>98</v>
      </c>
      <c r="E2" s="84" t="s">
        <v>99</v>
      </c>
      <c r="F2" s="84" t="s">
        <v>100</v>
      </c>
      <c r="G2" s="84" t="s">
        <v>101</v>
      </c>
      <c r="H2" s="83" t="s">
        <v>2</v>
      </c>
      <c r="I2" s="83" t="s">
        <v>102</v>
      </c>
    </row>
    <row r="3" ht="48" spans="1:9">
      <c r="A3" s="85">
        <f t="shared" ref="A3:A9" si="0">ROW()-2</f>
        <v>1</v>
      </c>
      <c r="B3" s="86" t="s">
        <v>103</v>
      </c>
      <c r="C3" s="87" t="s">
        <v>104</v>
      </c>
      <c r="D3" s="87" t="s">
        <v>105</v>
      </c>
      <c r="E3" s="87" t="s">
        <v>106</v>
      </c>
      <c r="F3" s="37"/>
      <c r="G3" s="88" t="s">
        <v>107</v>
      </c>
      <c r="H3" s="37"/>
      <c r="I3" s="73"/>
    </row>
    <row r="4" ht="33.75" spans="1:9">
      <c r="A4" s="85">
        <f t="shared" si="0"/>
        <v>2</v>
      </c>
      <c r="B4" s="89" t="s">
        <v>108</v>
      </c>
      <c r="C4" s="90" t="s">
        <v>109</v>
      </c>
      <c r="D4" s="91" t="s">
        <v>110</v>
      </c>
      <c r="E4" s="92"/>
      <c r="F4" s="93"/>
      <c r="G4" s="94" t="s">
        <v>107</v>
      </c>
      <c r="H4" s="37"/>
      <c r="I4" s="73"/>
    </row>
    <row r="5" ht="84" spans="1:9">
      <c r="A5" s="85">
        <f t="shared" si="0"/>
        <v>3</v>
      </c>
      <c r="B5" s="86" t="s">
        <v>111</v>
      </c>
      <c r="C5" s="87" t="s">
        <v>112</v>
      </c>
      <c r="D5" s="87" t="s">
        <v>113</v>
      </c>
      <c r="E5" s="87" t="s">
        <v>114</v>
      </c>
      <c r="F5" s="37"/>
      <c r="G5" s="72" t="s">
        <v>107</v>
      </c>
      <c r="H5" s="37"/>
      <c r="I5" s="73"/>
    </row>
    <row r="6" ht="48" spans="1:9">
      <c r="A6" s="85">
        <f t="shared" si="0"/>
        <v>4</v>
      </c>
      <c r="B6" s="86" t="s">
        <v>115</v>
      </c>
      <c r="C6" s="87" t="s">
        <v>116</v>
      </c>
      <c r="D6" s="95" t="s">
        <v>117</v>
      </c>
      <c r="E6" s="87" t="s">
        <v>118</v>
      </c>
      <c r="F6" s="37"/>
      <c r="G6" s="72" t="s">
        <v>107</v>
      </c>
      <c r="H6" s="37"/>
      <c r="I6" s="73"/>
    </row>
    <row r="7" ht="24" spans="1:9">
      <c r="A7" s="85">
        <f t="shared" si="0"/>
        <v>5</v>
      </c>
      <c r="B7" s="86" t="s">
        <v>119</v>
      </c>
      <c r="C7" s="87" t="s">
        <v>120</v>
      </c>
      <c r="D7" s="92" t="s">
        <v>121</v>
      </c>
      <c r="E7" s="87" t="s">
        <v>122</v>
      </c>
      <c r="F7" s="37" t="s">
        <v>123</v>
      </c>
      <c r="G7" s="88" t="s">
        <v>107</v>
      </c>
      <c r="H7" s="37"/>
      <c r="I7" s="73"/>
    </row>
    <row r="8" ht="24" spans="1:9">
      <c r="A8" s="85">
        <f t="shared" si="0"/>
        <v>6</v>
      </c>
      <c r="B8" s="86" t="s">
        <v>124</v>
      </c>
      <c r="C8" s="87" t="s">
        <v>120</v>
      </c>
      <c r="D8" s="92" t="s">
        <v>125</v>
      </c>
      <c r="E8" s="87" t="s">
        <v>126</v>
      </c>
      <c r="F8" s="37" t="s">
        <v>107</v>
      </c>
      <c r="G8" s="88" t="s">
        <v>107</v>
      </c>
      <c r="H8" s="37"/>
      <c r="I8" s="73"/>
    </row>
    <row r="9" ht="24" spans="1:9">
      <c r="A9" s="85">
        <f t="shared" si="0"/>
        <v>7</v>
      </c>
      <c r="B9" s="89" t="s">
        <v>127</v>
      </c>
      <c r="C9" s="90" t="s">
        <v>128</v>
      </c>
      <c r="D9" s="87" t="s">
        <v>129</v>
      </c>
      <c r="E9" s="92" t="s">
        <v>122</v>
      </c>
      <c r="F9" s="36" t="s">
        <v>130</v>
      </c>
      <c r="G9" s="88" t="s">
        <v>107</v>
      </c>
      <c r="H9" s="37"/>
      <c r="I9" s="73"/>
    </row>
    <row r="10" spans="1:1">
      <c r="A10" t="s">
        <v>131</v>
      </c>
    </row>
    <row r="21" spans="5:6">
      <c r="E21" s="49"/>
      <c r="F21" s="49"/>
    </row>
  </sheetData>
  <mergeCells count="1">
    <mergeCell ref="A1:I1"/>
  </mergeCells>
  <dataValidations count="1">
    <dataValidation type="list" allowBlank="1" showInputMessage="1" showErrorMessage="1" sqref="G3:G9">
      <formula1>"通过,风险通过,不通过,未测试"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/>
  </sheetPr>
  <dimension ref="A1:I22"/>
  <sheetViews>
    <sheetView workbookViewId="0">
      <selection activeCell="B28" sqref="B28"/>
    </sheetView>
  </sheetViews>
  <sheetFormatPr defaultColWidth="9" defaultRowHeight="13.5"/>
  <cols>
    <col min="1" max="1" width="24.5" customWidth="1"/>
    <col min="2" max="2" width="35" style="26" customWidth="1"/>
    <col min="3" max="3" width="87.625" customWidth="1"/>
    <col min="4" max="4" width="43.125" customWidth="1"/>
    <col min="5" max="5" width="48.625" style="50" customWidth="1"/>
    <col min="6" max="6" width="9.75" style="2" customWidth="1"/>
    <col min="7" max="7" width="13.875" customWidth="1"/>
    <col min="8" max="8" width="11.875" customWidth="1"/>
    <col min="11" max="11" width="28.75" customWidth="1"/>
  </cols>
  <sheetData>
    <row r="1" s="48" customFormat="1" ht="29.25" spans="1:8">
      <c r="A1" s="51" t="s">
        <v>132</v>
      </c>
      <c r="B1" s="51"/>
      <c r="C1" s="51"/>
      <c r="D1" s="51"/>
      <c r="E1" s="51"/>
      <c r="F1" s="51"/>
      <c r="G1" s="51"/>
      <c r="H1" s="51"/>
    </row>
    <row r="2" s="48" customFormat="1" ht="18" spans="1:8">
      <c r="A2" s="52" t="s">
        <v>133</v>
      </c>
      <c r="B2" s="53" t="s">
        <v>134</v>
      </c>
      <c r="C2" s="52" t="s">
        <v>135</v>
      </c>
      <c r="D2" s="54" t="s">
        <v>99</v>
      </c>
      <c r="E2" s="55" t="s">
        <v>100</v>
      </c>
      <c r="F2" s="54" t="s">
        <v>136</v>
      </c>
      <c r="G2" s="52" t="s">
        <v>2</v>
      </c>
      <c r="H2" s="52" t="s">
        <v>102</v>
      </c>
    </row>
    <row r="3" s="48" customFormat="1" ht="18" spans="1:8">
      <c r="A3" s="56" t="s">
        <v>137</v>
      </c>
      <c r="B3" s="56"/>
      <c r="C3" s="56"/>
      <c r="D3" s="56"/>
      <c r="E3" s="56"/>
      <c r="F3" s="56"/>
      <c r="G3" s="56"/>
      <c r="H3" s="57"/>
    </row>
    <row r="4" s="48" customFormat="1" ht="18" spans="1:8">
      <c r="A4" s="58"/>
      <c r="B4" s="59"/>
      <c r="C4" s="58"/>
      <c r="D4" s="58"/>
      <c r="E4" s="58"/>
      <c r="F4" s="58"/>
      <c r="G4" s="58"/>
      <c r="H4" s="60"/>
    </row>
    <row r="5" s="48" customFormat="1" ht="18" spans="1:8">
      <c r="A5" s="58"/>
      <c r="B5" s="59"/>
      <c r="C5" s="58"/>
      <c r="D5" s="58"/>
      <c r="E5" s="58"/>
      <c r="F5" s="58"/>
      <c r="G5" s="58"/>
      <c r="H5" s="60"/>
    </row>
    <row r="6" ht="18" spans="1:8">
      <c r="A6" s="61" t="s">
        <v>138</v>
      </c>
      <c r="B6" s="61"/>
      <c r="C6" s="61"/>
      <c r="D6" s="61"/>
      <c r="E6" s="61"/>
      <c r="F6" s="61"/>
      <c r="G6" s="61"/>
      <c r="H6" s="60"/>
    </row>
    <row r="7" outlineLevel="1" spans="1:8">
      <c r="A7" s="39"/>
      <c r="B7" s="37"/>
      <c r="C7" s="37"/>
      <c r="D7" s="37"/>
      <c r="E7" s="37"/>
      <c r="F7" s="62"/>
      <c r="G7" s="63"/>
      <c r="H7" s="64"/>
    </row>
    <row r="8" outlineLevel="1" spans="1:8">
      <c r="A8" s="39"/>
      <c r="B8" s="37"/>
      <c r="C8" s="37"/>
      <c r="D8" s="65"/>
      <c r="E8" s="37"/>
      <c r="F8" s="62"/>
      <c r="G8" s="63"/>
      <c r="H8" s="64"/>
    </row>
    <row r="9" outlineLevel="1" spans="1:8">
      <c r="A9" s="39"/>
      <c r="B9" s="37"/>
      <c r="C9" s="66"/>
      <c r="D9" s="39"/>
      <c r="E9" s="37"/>
      <c r="F9" s="62"/>
      <c r="G9" s="63"/>
      <c r="H9" s="64"/>
    </row>
    <row r="10" outlineLevel="1" spans="1:8">
      <c r="A10" s="39"/>
      <c r="B10" s="37"/>
      <c r="C10" s="37"/>
      <c r="D10" s="36"/>
      <c r="E10" s="37"/>
      <c r="F10" s="62"/>
      <c r="G10" s="63"/>
      <c r="H10" s="64"/>
    </row>
    <row r="11" outlineLevel="1" spans="1:8">
      <c r="A11" s="65"/>
      <c r="B11" s="37"/>
      <c r="C11" s="65"/>
      <c r="D11" s="65"/>
      <c r="E11" s="67"/>
      <c r="F11" s="68"/>
      <c r="G11" s="65"/>
      <c r="H11" s="65"/>
    </row>
    <row r="12" ht="18" spans="1:8">
      <c r="A12" s="69" t="s">
        <v>139</v>
      </c>
      <c r="B12" s="69"/>
      <c r="C12" s="69"/>
      <c r="D12" s="69"/>
      <c r="E12" s="69"/>
      <c r="F12" s="69"/>
      <c r="G12" s="70"/>
      <c r="H12" s="60"/>
    </row>
    <row r="13" outlineLevel="1" spans="1:8">
      <c r="A13" s="39"/>
      <c r="B13" s="37"/>
      <c r="C13" s="37"/>
      <c r="D13" s="71"/>
      <c r="E13" s="37"/>
      <c r="F13" s="72"/>
      <c r="G13" s="37"/>
      <c r="H13" s="73"/>
    </row>
    <row r="14" s="49" customFormat="1" outlineLevel="1" spans="1:8">
      <c r="A14" s="39"/>
      <c r="B14" s="37"/>
      <c r="C14" s="37"/>
      <c r="D14" s="37"/>
      <c r="E14" s="67"/>
      <c r="F14" s="72"/>
      <c r="G14" s="37"/>
      <c r="H14" s="73"/>
    </row>
    <row r="15" outlineLevel="1" spans="1:8">
      <c r="A15" s="39"/>
      <c r="B15" s="37"/>
      <c r="C15" s="37"/>
      <c r="D15" s="39"/>
      <c r="E15" s="37"/>
      <c r="F15" s="72"/>
      <c r="G15" s="37"/>
      <c r="H15" s="73"/>
    </row>
    <row r="16" outlineLevel="1" spans="1:8">
      <c r="A16" s="74"/>
      <c r="B16" s="75"/>
      <c r="C16" s="74"/>
      <c r="D16" s="74"/>
      <c r="E16" s="74"/>
      <c r="F16" s="76"/>
      <c r="G16" s="75"/>
      <c r="H16" s="77"/>
    </row>
    <row r="17" outlineLevel="1" spans="1:8">
      <c r="A17" s="78"/>
      <c r="B17" s="79"/>
      <c r="C17" s="79"/>
      <c r="D17" s="79"/>
      <c r="E17" s="78"/>
      <c r="F17" s="80"/>
      <c r="G17" s="79"/>
      <c r="H17" s="81"/>
    </row>
    <row r="18" outlineLevel="1" spans="1:8">
      <c r="A18" s="39"/>
      <c r="B18" s="37"/>
      <c r="C18" s="37"/>
      <c r="D18" s="37"/>
      <c r="E18" s="39"/>
      <c r="F18" s="72"/>
      <c r="G18" s="37"/>
      <c r="H18" s="73"/>
    </row>
    <row r="19" outlineLevel="1" spans="1:9">
      <c r="A19" s="39"/>
      <c r="B19" s="37"/>
      <c r="C19" s="37"/>
      <c r="D19" s="39"/>
      <c r="E19" s="39"/>
      <c r="F19" s="72"/>
      <c r="G19" s="37"/>
      <c r="H19" s="73"/>
      <c r="I19" s="82"/>
    </row>
    <row r="20" ht="18" spans="1:8">
      <c r="A20" s="69" t="s">
        <v>140</v>
      </c>
      <c r="B20" s="69"/>
      <c r="C20" s="69"/>
      <c r="D20" s="69"/>
      <c r="E20" s="69"/>
      <c r="F20" s="69"/>
      <c r="G20" s="70"/>
      <c r="H20" s="60"/>
    </row>
    <row r="21" spans="1:1">
      <c r="A21" t="s">
        <v>141</v>
      </c>
    </row>
    <row r="22" spans="1:8">
      <c r="A22" s="39"/>
      <c r="B22" s="37"/>
      <c r="C22" s="37"/>
      <c r="D22" s="39"/>
      <c r="E22" s="37"/>
      <c r="F22" s="72"/>
      <c r="G22" s="37"/>
      <c r="H22" s="73"/>
    </row>
  </sheetData>
  <mergeCells count="5">
    <mergeCell ref="A1:H1"/>
    <mergeCell ref="A3:H3"/>
    <mergeCell ref="A6:G6"/>
    <mergeCell ref="A12:G12"/>
    <mergeCell ref="A20:G20"/>
  </mergeCells>
  <dataValidations count="1">
    <dataValidation type="list" allowBlank="1" showInputMessage="1" showErrorMessage="1" sqref="F22 F7:F10 F13:F19">
      <formula1>"通过,风险通过,不通过,未测试"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/>
  </sheetPr>
  <dimension ref="A1:C134"/>
  <sheetViews>
    <sheetView topLeftCell="A87" workbookViewId="0">
      <selection activeCell="A118" sqref="A118"/>
    </sheetView>
  </sheetViews>
  <sheetFormatPr defaultColWidth="9" defaultRowHeight="16.5" outlineLevelCol="2"/>
  <cols>
    <col min="1" max="1" width="98.875" customWidth="1"/>
    <col min="2" max="2" width="14.375" customWidth="1"/>
    <col min="3" max="3" width="15.875" customWidth="1"/>
    <col min="4" max="4" width="58.25" style="14" customWidth="1"/>
  </cols>
  <sheetData>
    <row r="1" spans="1:1">
      <c r="A1" s="45"/>
    </row>
    <row r="2" spans="1:1">
      <c r="A2" s="46" t="s">
        <v>142</v>
      </c>
    </row>
    <row r="3" spans="1:1">
      <c r="A3" t="s">
        <v>143</v>
      </c>
    </row>
    <row r="4" spans="1:1">
      <c r="A4" s="45" t="s">
        <v>144</v>
      </c>
    </row>
    <row r="5" spans="1:1">
      <c r="A5" s="45" t="s">
        <v>145</v>
      </c>
    </row>
    <row r="6" spans="1:1">
      <c r="A6" s="45" t="s">
        <v>146</v>
      </c>
    </row>
    <row r="7" spans="1:1">
      <c r="A7" s="45" t="s">
        <v>147</v>
      </c>
    </row>
    <row r="8" spans="1:1">
      <c r="A8" s="45" t="s">
        <v>148</v>
      </c>
    </row>
    <row r="9" ht="27" spans="1:1">
      <c r="A9" s="45" t="s">
        <v>149</v>
      </c>
    </row>
    <row r="10" spans="1:1">
      <c r="A10" s="45" t="s">
        <v>150</v>
      </c>
    </row>
    <row r="11" spans="1:1">
      <c r="A11" s="45" t="s">
        <v>151</v>
      </c>
    </row>
    <row r="12" ht="27" spans="1:1">
      <c r="A12" s="45" t="s">
        <v>152</v>
      </c>
    </row>
    <row r="13" spans="1:1">
      <c r="A13" s="45" t="s">
        <v>153</v>
      </c>
    </row>
    <row r="14" ht="27" spans="1:1">
      <c r="A14" s="45" t="s">
        <v>154</v>
      </c>
    </row>
    <row r="15" spans="1:1">
      <c r="A15" s="45"/>
    </row>
    <row r="16" spans="1:1">
      <c r="A16" s="45"/>
    </row>
    <row r="17" spans="1:1">
      <c r="A17" s="46" t="s">
        <v>155</v>
      </c>
    </row>
    <row r="18" ht="27" spans="1:1">
      <c r="A18" s="45" t="s">
        <v>156</v>
      </c>
    </row>
    <row r="19" spans="1:1">
      <c r="A19" s="45" t="s">
        <v>157</v>
      </c>
    </row>
    <row r="20" spans="1:1">
      <c r="A20" s="45" t="s">
        <v>158</v>
      </c>
    </row>
    <row r="21" spans="1:1">
      <c r="A21" s="45" t="s">
        <v>147</v>
      </c>
    </row>
    <row r="22" spans="1:1">
      <c r="A22" s="45" t="s">
        <v>159</v>
      </c>
    </row>
    <row r="23" spans="1:1">
      <c r="A23" s="45" t="s">
        <v>160</v>
      </c>
    </row>
    <row r="24" spans="1:1">
      <c r="A24" s="45" t="s">
        <v>161</v>
      </c>
    </row>
    <row r="25" spans="1:1">
      <c r="A25" s="45" t="s">
        <v>162</v>
      </c>
    </row>
    <row r="26" spans="1:1">
      <c r="A26" s="45"/>
    </row>
    <row r="27" spans="1:1">
      <c r="A27" s="45"/>
    </row>
    <row r="28" spans="1:1">
      <c r="A28" s="46" t="s">
        <v>163</v>
      </c>
    </row>
    <row r="29" spans="1:1">
      <c r="A29" s="45" t="s">
        <v>164</v>
      </c>
    </row>
    <row r="30" spans="1:1">
      <c r="A30" s="45" t="s">
        <v>165</v>
      </c>
    </row>
    <row r="31" ht="27" spans="1:1">
      <c r="A31" s="45" t="s">
        <v>166</v>
      </c>
    </row>
    <row r="32" spans="1:1">
      <c r="A32" s="45" t="s">
        <v>167</v>
      </c>
    </row>
    <row r="33" spans="1:1">
      <c r="A33" s="45"/>
    </row>
    <row r="34" spans="1:1">
      <c r="A34" s="45"/>
    </row>
    <row r="35" spans="1:1">
      <c r="A35" s="46" t="s">
        <v>168</v>
      </c>
    </row>
    <row r="36" spans="1:1">
      <c r="A36" s="45" t="s">
        <v>169</v>
      </c>
    </row>
    <row r="37" spans="1:1">
      <c r="A37" s="45" t="s">
        <v>170</v>
      </c>
    </row>
    <row r="38" spans="1:1">
      <c r="A38" s="45" t="s">
        <v>171</v>
      </c>
    </row>
    <row r="39" ht="27" spans="1:1">
      <c r="A39" s="45" t="s">
        <v>172</v>
      </c>
    </row>
    <row r="40" spans="1:1">
      <c r="A40" s="45" t="s">
        <v>173</v>
      </c>
    </row>
    <row r="41" ht="27" spans="1:1">
      <c r="A41" s="45" t="s">
        <v>174</v>
      </c>
    </row>
    <row r="42" ht="27" spans="1:1">
      <c r="A42" s="45" t="s">
        <v>175</v>
      </c>
    </row>
    <row r="43" spans="1:1">
      <c r="A43" s="45" t="s">
        <v>176</v>
      </c>
    </row>
    <row r="44" ht="27" spans="1:1">
      <c r="A44" s="45" t="s">
        <v>177</v>
      </c>
    </row>
    <row r="45" spans="1:1">
      <c r="A45" s="45" t="s">
        <v>178</v>
      </c>
    </row>
    <row r="46" spans="1:1">
      <c r="A46" s="47" t="s">
        <v>179</v>
      </c>
    </row>
    <row r="47" spans="1:1">
      <c r="A47" s="45"/>
    </row>
    <row r="48" spans="1:1">
      <c r="A48" s="45" t="s">
        <v>180</v>
      </c>
    </row>
    <row r="49" ht="27" spans="1:1">
      <c r="A49" s="45" t="s">
        <v>181</v>
      </c>
    </row>
    <row r="50" ht="27" spans="1:1">
      <c r="A50" s="45" t="s">
        <v>182</v>
      </c>
    </row>
    <row r="51" ht="27" spans="1:1">
      <c r="A51" s="45" t="s">
        <v>183</v>
      </c>
    </row>
    <row r="52" ht="27" spans="1:1">
      <c r="A52" s="45" t="s">
        <v>184</v>
      </c>
    </row>
    <row r="53" spans="1:1">
      <c r="A53" s="47" t="s">
        <v>185</v>
      </c>
    </row>
    <row r="54" spans="1:1">
      <c r="A54" s="45"/>
    </row>
    <row r="55" spans="1:1">
      <c r="A55" s="45"/>
    </row>
    <row r="56" spans="1:1">
      <c r="A56" s="46" t="s">
        <v>186</v>
      </c>
    </row>
    <row r="57" ht="27" spans="1:1">
      <c r="A57" s="45" t="s">
        <v>187</v>
      </c>
    </row>
    <row r="58" spans="1:1">
      <c r="A58" s="45" t="s">
        <v>188</v>
      </c>
    </row>
    <row r="59" ht="27" spans="1:1">
      <c r="A59" s="45" t="s">
        <v>189</v>
      </c>
    </row>
    <row r="60" spans="1:1">
      <c r="A60" s="45" t="s">
        <v>190</v>
      </c>
    </row>
    <row r="61" ht="27" spans="1:1">
      <c r="A61" s="45" t="s">
        <v>191</v>
      </c>
    </row>
    <row r="62" spans="1:1">
      <c r="A62" s="45" t="s">
        <v>192</v>
      </c>
    </row>
    <row r="63" spans="1:1">
      <c r="A63" s="45"/>
    </row>
    <row r="64" spans="1:1">
      <c r="A64" s="45"/>
    </row>
    <row r="65" spans="1:1">
      <c r="A65" s="46" t="s">
        <v>193</v>
      </c>
    </row>
    <row r="66" spans="1:3">
      <c r="A66" s="45" t="s">
        <v>194</v>
      </c>
      <c r="B66" t="s">
        <v>195</v>
      </c>
      <c r="C66" t="s">
        <v>196</v>
      </c>
    </row>
    <row r="67" spans="1:3">
      <c r="A67" s="45" t="s">
        <v>197</v>
      </c>
      <c r="B67" t="s">
        <v>198</v>
      </c>
      <c r="C67" t="s">
        <v>196</v>
      </c>
    </row>
    <row r="68" ht="27" spans="1:3">
      <c r="A68" s="45" t="s">
        <v>199</v>
      </c>
      <c r="B68" t="s">
        <v>195</v>
      </c>
      <c r="C68" t="s">
        <v>196</v>
      </c>
    </row>
    <row r="69" ht="27" spans="1:3">
      <c r="A69" s="45" t="s">
        <v>200</v>
      </c>
      <c r="B69" t="s">
        <v>201</v>
      </c>
      <c r="C69" t="s">
        <v>196</v>
      </c>
    </row>
    <row r="70" spans="1:1">
      <c r="A70" s="45" t="s">
        <v>202</v>
      </c>
    </row>
    <row r="71" spans="1:1">
      <c r="A71" s="45"/>
    </row>
    <row r="72" spans="1:1">
      <c r="A72" s="45"/>
    </row>
    <row r="73" spans="1:1">
      <c r="A73" s="46" t="s">
        <v>203</v>
      </c>
    </row>
    <row r="74" ht="27" spans="1:2">
      <c r="A74" s="45" t="s">
        <v>204</v>
      </c>
      <c r="B74" t="s">
        <v>195</v>
      </c>
    </row>
    <row r="75" ht="40.5" spans="1:2">
      <c r="A75" s="45" t="s">
        <v>205</v>
      </c>
      <c r="B75" t="s">
        <v>206</v>
      </c>
    </row>
    <row r="76" ht="27" spans="1:2">
      <c r="A76" s="45" t="s">
        <v>207</v>
      </c>
      <c r="B76" t="s">
        <v>208</v>
      </c>
    </row>
    <row r="77" ht="27" spans="1:2">
      <c r="A77" s="45" t="s">
        <v>209</v>
      </c>
      <c r="B77" t="s">
        <v>206</v>
      </c>
    </row>
    <row r="78" spans="1:1">
      <c r="A78" s="45"/>
    </row>
    <row r="79" spans="1:1">
      <c r="A79" s="45"/>
    </row>
    <row r="80" spans="1:1">
      <c r="A80" s="46" t="s">
        <v>210</v>
      </c>
    </row>
    <row r="81" ht="27" spans="1:1">
      <c r="A81" s="45" t="s">
        <v>211</v>
      </c>
    </row>
    <row r="82" spans="1:1">
      <c r="A82" s="45" t="s">
        <v>212</v>
      </c>
    </row>
    <row r="83" spans="1:1">
      <c r="A83" s="45"/>
    </row>
    <row r="84" spans="1:1">
      <c r="A84" s="45"/>
    </row>
    <row r="85" spans="1:1">
      <c r="A85" s="46" t="s">
        <v>213</v>
      </c>
    </row>
    <row r="86" spans="1:2">
      <c r="A86" s="45" t="s">
        <v>214</v>
      </c>
      <c r="B86" t="s">
        <v>208</v>
      </c>
    </row>
    <row r="87" spans="1:1">
      <c r="A87" s="45" t="s">
        <v>215</v>
      </c>
    </row>
    <row r="88" spans="1:1">
      <c r="A88" s="45"/>
    </row>
    <row r="89" spans="1:1">
      <c r="A89" s="45"/>
    </row>
    <row r="90" spans="1:1">
      <c r="A90" s="46" t="s">
        <v>216</v>
      </c>
    </row>
    <row r="91" spans="1:2">
      <c r="A91" s="45" t="s">
        <v>217</v>
      </c>
      <c r="B91" t="s">
        <v>218</v>
      </c>
    </row>
    <row r="92" ht="27" spans="1:2">
      <c r="A92" s="45" t="s">
        <v>219</v>
      </c>
      <c r="B92" t="s">
        <v>195</v>
      </c>
    </row>
    <row r="93" spans="1:1">
      <c r="A93" s="45" t="s">
        <v>220</v>
      </c>
    </row>
    <row r="94" spans="1:1">
      <c r="A94" s="45"/>
    </row>
    <row r="95" spans="1:1">
      <c r="A95" s="45"/>
    </row>
    <row r="96" spans="1:1">
      <c r="A96" s="46" t="s">
        <v>221</v>
      </c>
    </row>
    <row r="97" ht="27" spans="1:2">
      <c r="A97" s="45" t="s">
        <v>222</v>
      </c>
      <c r="B97" t="s">
        <v>223</v>
      </c>
    </row>
    <row r="98" spans="1:1">
      <c r="A98" s="45" t="s">
        <v>224</v>
      </c>
    </row>
    <row r="99" spans="1:1">
      <c r="A99" s="45"/>
    </row>
    <row r="100" ht="27" spans="1:2">
      <c r="A100" s="45" t="s">
        <v>225</v>
      </c>
      <c r="B100" t="s">
        <v>226</v>
      </c>
    </row>
    <row r="101" spans="1:1">
      <c r="A101" s="45" t="s">
        <v>227</v>
      </c>
    </row>
    <row r="102" spans="1:1">
      <c r="A102" s="45"/>
    </row>
    <row r="103" spans="1:1">
      <c r="A103" s="45"/>
    </row>
    <row r="104" spans="1:1">
      <c r="A104" s="46" t="s">
        <v>228</v>
      </c>
    </row>
    <row r="105" ht="27" spans="1:2">
      <c r="A105" s="45" t="s">
        <v>229</v>
      </c>
      <c r="B105" t="s">
        <v>195</v>
      </c>
    </row>
    <row r="106" ht="27" spans="1:2">
      <c r="A106" s="45" t="s">
        <v>230</v>
      </c>
      <c r="B106" t="s">
        <v>226</v>
      </c>
    </row>
    <row r="107" spans="1:2">
      <c r="A107" s="45" t="s">
        <v>231</v>
      </c>
      <c r="B107" t="s">
        <v>226</v>
      </c>
    </row>
    <row r="108" spans="1:1">
      <c r="A108" s="45" t="s">
        <v>232</v>
      </c>
    </row>
    <row r="109" spans="1:1">
      <c r="A109" s="45"/>
    </row>
    <row r="110" spans="1:1">
      <c r="A110" s="45"/>
    </row>
    <row r="111" spans="1:1">
      <c r="A111" s="45"/>
    </row>
    <row r="112" spans="1:1">
      <c r="A112" s="45"/>
    </row>
    <row r="113" spans="1:1">
      <c r="A113" s="45"/>
    </row>
    <row r="114" spans="1:1">
      <c r="A114" s="45"/>
    </row>
    <row r="115" spans="1:1">
      <c r="A115" s="45"/>
    </row>
    <row r="116" spans="1:1">
      <c r="A116" s="45"/>
    </row>
    <row r="117" spans="1:1">
      <c r="A117" s="45"/>
    </row>
    <row r="118" spans="1:1">
      <c r="A118" s="45"/>
    </row>
    <row r="119" spans="1:1">
      <c r="A119" s="45"/>
    </row>
    <row r="120" spans="1:1">
      <c r="A120" s="45"/>
    </row>
    <row r="121" spans="1:1">
      <c r="A121" s="45"/>
    </row>
    <row r="122" spans="1:1">
      <c r="A122" s="45"/>
    </row>
    <row r="123" spans="1:1">
      <c r="A123" s="45"/>
    </row>
    <row r="124" spans="1:1">
      <c r="A124" s="45"/>
    </row>
    <row r="125" spans="1:1">
      <c r="A125" s="45"/>
    </row>
    <row r="126" spans="1:1">
      <c r="A126" s="45"/>
    </row>
    <row r="127" spans="1:1">
      <c r="A127" s="45"/>
    </row>
    <row r="128" spans="1:1">
      <c r="A128" s="45"/>
    </row>
    <row r="129" spans="1:1">
      <c r="A129" s="45"/>
    </row>
    <row r="130" spans="1:1">
      <c r="A130" s="45"/>
    </row>
    <row r="131" spans="1:1">
      <c r="A131" s="45"/>
    </row>
    <row r="132" spans="1:1">
      <c r="A132" s="45"/>
    </row>
    <row r="133" spans="1:1">
      <c r="A133" s="45"/>
    </row>
    <row r="134" spans="1:1">
      <c r="A134" s="4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14"/>
  <sheetViews>
    <sheetView workbookViewId="0">
      <selection activeCell="E2" sqref="A2:E14"/>
    </sheetView>
  </sheetViews>
  <sheetFormatPr defaultColWidth="9" defaultRowHeight="12" outlineLevelCol="4"/>
  <cols>
    <col min="1" max="1" width="12.25" style="24" customWidth="1"/>
    <col min="2" max="2" width="86.5" style="25" customWidth="1"/>
    <col min="3" max="3" width="87.125" style="26" customWidth="1"/>
    <col min="4" max="4" width="11.875" style="1" customWidth="1"/>
    <col min="5" max="5" width="9" style="1"/>
    <col min="6" max="16384" width="9" style="27"/>
  </cols>
  <sheetData>
    <row r="1" spans="1:5">
      <c r="A1" s="28" t="s">
        <v>233</v>
      </c>
      <c r="B1" s="29" t="s">
        <v>234</v>
      </c>
      <c r="C1" s="29" t="s">
        <v>235</v>
      </c>
      <c r="D1" s="28" t="s">
        <v>236</v>
      </c>
      <c r="E1" s="28" t="s">
        <v>99</v>
      </c>
    </row>
    <row r="2" ht="24" spans="1:5">
      <c r="A2" s="30" t="s">
        <v>237</v>
      </c>
      <c r="B2" s="31" t="s">
        <v>238</v>
      </c>
      <c r="C2" s="32" t="s">
        <v>239</v>
      </c>
      <c r="D2" s="33" t="s">
        <v>240</v>
      </c>
      <c r="E2" s="34" t="s">
        <v>241</v>
      </c>
    </row>
    <row r="3" ht="36" spans="1:5">
      <c r="A3" s="35" t="s">
        <v>242</v>
      </c>
      <c r="B3" s="36" t="s">
        <v>243</v>
      </c>
      <c r="C3" s="37" t="s">
        <v>244</v>
      </c>
      <c r="D3" s="38" t="s">
        <v>245</v>
      </c>
      <c r="E3" s="39" t="s">
        <v>246</v>
      </c>
    </row>
    <row r="4" ht="24" spans="1:5">
      <c r="A4" s="35" t="s">
        <v>247</v>
      </c>
      <c r="B4" s="36" t="s">
        <v>248</v>
      </c>
      <c r="C4" s="37" t="s">
        <v>249</v>
      </c>
      <c r="D4" s="38" t="s">
        <v>240</v>
      </c>
      <c r="E4" s="39" t="s">
        <v>250</v>
      </c>
    </row>
    <row r="5" ht="84" spans="1:5">
      <c r="A5" s="35" t="s">
        <v>251</v>
      </c>
      <c r="B5" s="36" t="s">
        <v>252</v>
      </c>
      <c r="C5" s="37" t="s">
        <v>253</v>
      </c>
      <c r="D5" s="40" t="s">
        <v>240</v>
      </c>
      <c r="E5" s="40" t="s">
        <v>254</v>
      </c>
    </row>
    <row r="6" ht="24" spans="1:5">
      <c r="A6" s="35" t="s">
        <v>255</v>
      </c>
      <c r="B6" s="36" t="s">
        <v>256</v>
      </c>
      <c r="C6" s="37" t="s">
        <v>257</v>
      </c>
      <c r="D6" s="41"/>
      <c r="E6" s="41"/>
    </row>
    <row r="7" ht="24" spans="1:5">
      <c r="A7" s="35" t="s">
        <v>258</v>
      </c>
      <c r="B7" s="36" t="s">
        <v>259</v>
      </c>
      <c r="C7" s="42" t="s">
        <v>260</v>
      </c>
      <c r="D7" s="39" t="s">
        <v>240</v>
      </c>
      <c r="E7" s="39" t="s">
        <v>250</v>
      </c>
    </row>
    <row r="8" ht="24" spans="1:5">
      <c r="A8" s="35" t="s">
        <v>261</v>
      </c>
      <c r="B8" s="36" t="s">
        <v>262</v>
      </c>
      <c r="C8" s="37" t="s">
        <v>263</v>
      </c>
      <c r="D8" s="39" t="s">
        <v>240</v>
      </c>
      <c r="E8" s="39" t="s">
        <v>264</v>
      </c>
    </row>
    <row r="9" ht="36" spans="1:5">
      <c r="A9" s="30" t="s">
        <v>265</v>
      </c>
      <c r="B9" s="31" t="s">
        <v>266</v>
      </c>
      <c r="C9" s="32" t="s">
        <v>267</v>
      </c>
      <c r="D9" s="43" t="s">
        <v>268</v>
      </c>
      <c r="E9" s="32" t="s">
        <v>269</v>
      </c>
    </row>
    <row r="10" ht="36" spans="1:5">
      <c r="A10" s="35" t="s">
        <v>270</v>
      </c>
      <c r="B10" s="36" t="s">
        <v>271</v>
      </c>
      <c r="C10" s="37" t="s">
        <v>272</v>
      </c>
      <c r="D10" s="39" t="s">
        <v>240</v>
      </c>
      <c r="E10" s="39" t="s">
        <v>273</v>
      </c>
    </row>
    <row r="11" ht="48" spans="1:5">
      <c r="A11" s="35" t="s">
        <v>274</v>
      </c>
      <c r="B11" s="36" t="s">
        <v>275</v>
      </c>
      <c r="C11" s="37" t="s">
        <v>272</v>
      </c>
      <c r="D11" s="39" t="s">
        <v>240</v>
      </c>
      <c r="E11" s="39" t="s">
        <v>273</v>
      </c>
    </row>
    <row r="12" ht="36" spans="1:5">
      <c r="A12" s="35" t="s">
        <v>276</v>
      </c>
      <c r="B12" s="36" t="s">
        <v>277</v>
      </c>
      <c r="C12" s="37" t="s">
        <v>272</v>
      </c>
      <c r="D12" s="39" t="s">
        <v>240</v>
      </c>
      <c r="E12" s="39" t="s">
        <v>273</v>
      </c>
    </row>
    <row r="13" ht="36" spans="1:5">
      <c r="A13" s="35" t="s">
        <v>278</v>
      </c>
      <c r="B13" s="36" t="s">
        <v>279</v>
      </c>
      <c r="C13" s="37" t="s">
        <v>272</v>
      </c>
      <c r="D13" s="39" t="s">
        <v>240</v>
      </c>
      <c r="E13" s="39" t="s">
        <v>273</v>
      </c>
    </row>
    <row r="14" spans="1:2">
      <c r="A14" s="35" t="s">
        <v>280</v>
      </c>
      <c r="B14" s="44" t="s">
        <v>281</v>
      </c>
    </row>
  </sheetData>
  <mergeCells count="2">
    <mergeCell ref="D5:D6"/>
    <mergeCell ref="E5:E6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/>
  </sheetPr>
  <dimension ref="A1:D111"/>
  <sheetViews>
    <sheetView workbookViewId="0">
      <selection activeCell="B128" sqref="B127:B128"/>
    </sheetView>
  </sheetViews>
  <sheetFormatPr defaultColWidth="9" defaultRowHeight="16.5" outlineLevelCol="3"/>
  <cols>
    <col min="1" max="1" width="13.5" style="14" customWidth="1"/>
    <col min="2" max="2" width="67.875" style="14" customWidth="1"/>
    <col min="3" max="3" width="20.5" style="14" customWidth="1"/>
    <col min="4" max="4" width="8" style="14" customWidth="1"/>
    <col min="5" max="5" width="65.375" style="14" customWidth="1"/>
    <col min="6" max="7" width="9" style="14"/>
    <col min="8" max="8" width="28.75" style="14" customWidth="1"/>
    <col min="9" max="16384" width="9" style="14"/>
  </cols>
  <sheetData>
    <row r="1" collapsed="1" spans="1:4">
      <c r="A1" s="15" t="s">
        <v>282</v>
      </c>
      <c r="B1" s="15"/>
      <c r="C1" s="15"/>
      <c r="D1" s="15"/>
    </row>
    <row r="2" hidden="1" outlineLevel="1" spans="1:4">
      <c r="A2" s="16" t="s">
        <v>283</v>
      </c>
      <c r="B2" s="17"/>
      <c r="C2" s="17"/>
      <c r="D2" s="17"/>
    </row>
    <row r="3" hidden="1" outlineLevel="1" spans="1:4">
      <c r="A3" s="18"/>
      <c r="B3" s="19"/>
      <c r="C3" s="19"/>
      <c r="D3" s="19"/>
    </row>
    <row r="4" hidden="1" outlineLevel="1" spans="1:4">
      <c r="A4" s="18"/>
      <c r="B4" s="19"/>
      <c r="C4" s="19"/>
      <c r="D4" s="19"/>
    </row>
    <row r="5" hidden="1" outlineLevel="1" spans="1:4">
      <c r="A5" s="18"/>
      <c r="B5" s="19"/>
      <c r="C5" s="19"/>
      <c r="D5" s="19"/>
    </row>
    <row r="6" hidden="1" outlineLevel="1" spans="1:4">
      <c r="A6" s="18"/>
      <c r="B6" s="19"/>
      <c r="C6" s="19"/>
      <c r="D6" s="19"/>
    </row>
    <row r="7" hidden="1" outlineLevel="1" spans="1:4">
      <c r="A7" s="18"/>
      <c r="B7" s="19"/>
      <c r="C7" s="19"/>
      <c r="D7" s="19"/>
    </row>
    <row r="8" hidden="1" outlineLevel="1" spans="1:4">
      <c r="A8" s="18"/>
      <c r="B8" s="19"/>
      <c r="C8" s="19"/>
      <c r="D8" s="19"/>
    </row>
    <row r="9" hidden="1" outlineLevel="1" spans="1:4">
      <c r="A9" s="18"/>
      <c r="B9" s="19"/>
      <c r="C9" s="19"/>
      <c r="D9" s="19"/>
    </row>
    <row r="10" hidden="1" outlineLevel="1" spans="1:4">
      <c r="A10" s="18"/>
      <c r="B10" s="19"/>
      <c r="C10" s="19"/>
      <c r="D10" s="19"/>
    </row>
    <row r="11" hidden="1" outlineLevel="1" spans="1:4">
      <c r="A11" s="18"/>
      <c r="B11" s="19"/>
      <c r="C11" s="19"/>
      <c r="D11" s="19"/>
    </row>
    <row r="12" hidden="1" outlineLevel="1" spans="1:4">
      <c r="A12" s="18"/>
      <c r="B12" s="19"/>
      <c r="C12" s="19"/>
      <c r="D12" s="19"/>
    </row>
    <row r="13" hidden="1" outlineLevel="1" spans="1:4">
      <c r="A13" s="18"/>
      <c r="B13" s="19"/>
      <c r="C13" s="19"/>
      <c r="D13" s="19"/>
    </row>
    <row r="14" hidden="1" outlineLevel="1" spans="1:4">
      <c r="A14" s="18"/>
      <c r="B14" s="19"/>
      <c r="C14" s="19"/>
      <c r="D14" s="19"/>
    </row>
    <row r="15" hidden="1" outlineLevel="1" spans="1:4">
      <c r="A15" s="18"/>
      <c r="B15" s="19"/>
      <c r="C15" s="19"/>
      <c r="D15" s="19"/>
    </row>
    <row r="16" hidden="1" outlineLevel="1" spans="1:4">
      <c r="A16" s="18"/>
      <c r="B16" s="19"/>
      <c r="C16" s="19"/>
      <c r="D16" s="19"/>
    </row>
    <row r="17" hidden="1" outlineLevel="1" spans="1:4">
      <c r="A17" s="18"/>
      <c r="B17" s="19"/>
      <c r="C17" s="19"/>
      <c r="D17" s="19"/>
    </row>
    <row r="18" hidden="1" outlineLevel="1" spans="1:4">
      <c r="A18" s="18"/>
      <c r="B18" s="19"/>
      <c r="C18" s="19"/>
      <c r="D18" s="19"/>
    </row>
    <row r="19" hidden="1" outlineLevel="1" spans="1:4">
      <c r="A19" s="18"/>
      <c r="B19" s="19"/>
      <c r="C19" s="19"/>
      <c r="D19" s="19"/>
    </row>
    <row r="20" hidden="1" outlineLevel="1" spans="1:4">
      <c r="A20" s="18"/>
      <c r="B20" s="19"/>
      <c r="C20" s="19"/>
      <c r="D20" s="19"/>
    </row>
    <row r="21" hidden="1" outlineLevel="1" spans="1:4">
      <c r="A21" s="18"/>
      <c r="B21" s="19"/>
      <c r="C21" s="19"/>
      <c r="D21" s="19"/>
    </row>
    <row r="22" hidden="1" outlineLevel="1" spans="1:4">
      <c r="A22" s="18"/>
      <c r="B22" s="19"/>
      <c r="C22" s="19"/>
      <c r="D22" s="19"/>
    </row>
    <row r="23" hidden="1" outlineLevel="1" spans="1:4">
      <c r="A23" s="18"/>
      <c r="B23" s="19"/>
      <c r="C23" s="19"/>
      <c r="D23" s="19"/>
    </row>
    <row r="24" hidden="1" outlineLevel="1" spans="1:4">
      <c r="A24" s="18"/>
      <c r="B24" s="19"/>
      <c r="C24" s="19"/>
      <c r="D24" s="19"/>
    </row>
    <row r="25" hidden="1" outlineLevel="1" spans="1:4">
      <c r="A25" s="18"/>
      <c r="B25" s="19"/>
      <c r="C25" s="19"/>
      <c r="D25" s="19"/>
    </row>
    <row r="26" hidden="1" outlineLevel="1" spans="1:4">
      <c r="A26" s="18"/>
      <c r="B26" s="19"/>
      <c r="C26" s="19"/>
      <c r="D26" s="19"/>
    </row>
    <row r="27" hidden="1" outlineLevel="1" spans="1:4">
      <c r="A27" s="18"/>
      <c r="B27" s="19"/>
      <c r="C27" s="19"/>
      <c r="D27" s="19"/>
    </row>
    <row r="28" hidden="1" outlineLevel="1" spans="1:4">
      <c r="A28" s="18"/>
      <c r="B28" s="19"/>
      <c r="C28" s="19"/>
      <c r="D28" s="19"/>
    </row>
    <row r="29" hidden="1" outlineLevel="1" spans="1:4">
      <c r="A29" s="18"/>
      <c r="B29" s="19"/>
      <c r="C29" s="19"/>
      <c r="D29" s="19"/>
    </row>
    <row r="30" hidden="1" outlineLevel="1" spans="1:4">
      <c r="A30" s="18"/>
      <c r="B30" s="19"/>
      <c r="C30" s="19"/>
      <c r="D30" s="19"/>
    </row>
    <row r="31" hidden="1" outlineLevel="1" spans="1:4">
      <c r="A31" s="18"/>
      <c r="B31" s="19"/>
      <c r="C31" s="19"/>
      <c r="D31" s="19"/>
    </row>
    <row r="32" hidden="1" outlineLevel="1" spans="1:4">
      <c r="A32" s="18" t="s">
        <v>284</v>
      </c>
      <c r="B32" s="19"/>
      <c r="C32" s="19"/>
      <c r="D32" s="19"/>
    </row>
    <row r="33" hidden="1" outlineLevel="1" spans="1:4">
      <c r="A33" s="18"/>
      <c r="B33" s="19"/>
      <c r="C33" s="19"/>
      <c r="D33" s="19"/>
    </row>
    <row r="34" hidden="1" outlineLevel="1" spans="1:4">
      <c r="A34" s="18"/>
      <c r="B34" s="19"/>
      <c r="C34" s="19"/>
      <c r="D34" s="19"/>
    </row>
    <row r="35" hidden="1" outlineLevel="1" spans="1:4">
      <c r="A35" s="18"/>
      <c r="B35" s="19"/>
      <c r="C35" s="19"/>
      <c r="D35" s="19"/>
    </row>
    <row r="36" hidden="1" outlineLevel="1" spans="1:4">
      <c r="A36" s="18"/>
      <c r="B36" s="19"/>
      <c r="C36" s="19"/>
      <c r="D36" s="19"/>
    </row>
    <row r="37" hidden="1" outlineLevel="1" spans="1:4">
      <c r="A37" s="18"/>
      <c r="B37" s="19"/>
      <c r="C37" s="19"/>
      <c r="D37" s="19"/>
    </row>
    <row r="38" hidden="1" outlineLevel="1" spans="1:4">
      <c r="A38" s="18"/>
      <c r="B38" s="19"/>
      <c r="C38" s="19"/>
      <c r="D38" s="19"/>
    </row>
    <row r="39" hidden="1" outlineLevel="1" spans="1:4">
      <c r="A39" s="18"/>
      <c r="B39" s="19"/>
      <c r="C39" s="19"/>
      <c r="D39" s="19"/>
    </row>
    <row r="40" hidden="1" outlineLevel="1" spans="1:4">
      <c r="A40" s="18"/>
      <c r="B40" s="19"/>
      <c r="C40" s="19"/>
      <c r="D40" s="19"/>
    </row>
    <row r="41" hidden="1" outlineLevel="1" spans="1:4">
      <c r="A41" s="18"/>
      <c r="B41" s="19"/>
      <c r="C41" s="19"/>
      <c r="D41" s="19"/>
    </row>
    <row r="42" hidden="1" outlineLevel="1" spans="1:4">
      <c r="A42" s="18"/>
      <c r="B42" s="19"/>
      <c r="C42" s="19"/>
      <c r="D42" s="19"/>
    </row>
    <row r="43" hidden="1" outlineLevel="1" spans="1:4">
      <c r="A43" s="18"/>
      <c r="B43" s="19"/>
      <c r="C43" s="19"/>
      <c r="D43" s="19"/>
    </row>
    <row r="44" hidden="1" outlineLevel="1" spans="1:4">
      <c r="A44" s="18"/>
      <c r="B44" s="19"/>
      <c r="C44" s="19"/>
      <c r="D44" s="19"/>
    </row>
    <row r="45" hidden="1" outlineLevel="1" spans="1:4">
      <c r="A45" s="18"/>
      <c r="B45" s="19"/>
      <c r="C45" s="19"/>
      <c r="D45" s="19"/>
    </row>
    <row r="46" hidden="1" outlineLevel="1" spans="1:4">
      <c r="A46" s="18"/>
      <c r="B46" s="19"/>
      <c r="C46" s="19"/>
      <c r="D46" s="19"/>
    </row>
    <row r="47" hidden="1" outlineLevel="1" spans="1:4">
      <c r="A47" s="18"/>
      <c r="B47" s="19"/>
      <c r="C47" s="19"/>
      <c r="D47" s="19"/>
    </row>
    <row r="48" hidden="1" outlineLevel="1" spans="1:4">
      <c r="A48" s="18"/>
      <c r="B48" s="19"/>
      <c r="C48" s="19"/>
      <c r="D48" s="19"/>
    </row>
    <row r="49" hidden="1" outlineLevel="1" spans="1:4">
      <c r="A49" s="18"/>
      <c r="B49" s="19"/>
      <c r="C49" s="19"/>
      <c r="D49" s="19"/>
    </row>
    <row r="50" hidden="1" outlineLevel="1" spans="1:4">
      <c r="A50" s="18"/>
      <c r="B50" s="19"/>
      <c r="C50" s="19"/>
      <c r="D50" s="19"/>
    </row>
    <row r="51" hidden="1" outlineLevel="1" spans="1:4">
      <c r="A51" s="18"/>
      <c r="B51" s="19"/>
      <c r="C51" s="19"/>
      <c r="D51" s="19"/>
    </row>
    <row r="52" hidden="1" outlineLevel="1" spans="1:4">
      <c r="A52" s="18"/>
      <c r="B52" s="19"/>
      <c r="C52" s="19"/>
      <c r="D52" s="19"/>
    </row>
    <row r="53" hidden="1" outlineLevel="1" spans="1:4">
      <c r="A53" s="18"/>
      <c r="B53" s="19"/>
      <c r="C53" s="19"/>
      <c r="D53" s="19"/>
    </row>
    <row r="54" hidden="1" outlineLevel="1" spans="1:4">
      <c r="A54" s="18"/>
      <c r="B54" s="19"/>
      <c r="C54" s="19"/>
      <c r="D54" s="19"/>
    </row>
    <row r="55" hidden="1" outlineLevel="1" spans="1:4">
      <c r="A55" s="18" t="s">
        <v>285</v>
      </c>
      <c r="B55" s="19"/>
      <c r="C55" s="19"/>
      <c r="D55" s="19"/>
    </row>
    <row r="56" hidden="1" outlineLevel="1" spans="1:4">
      <c r="A56" s="18"/>
      <c r="B56" s="19"/>
      <c r="C56" s="19"/>
      <c r="D56" s="19"/>
    </row>
    <row r="57" hidden="1" outlineLevel="1" spans="1:4">
      <c r="A57" s="18"/>
      <c r="B57" s="19"/>
      <c r="C57" s="19"/>
      <c r="D57" s="19"/>
    </row>
    <row r="58" hidden="1" outlineLevel="1" spans="1:4">
      <c r="A58" s="18"/>
      <c r="B58" s="19"/>
      <c r="C58" s="19"/>
      <c r="D58" s="19"/>
    </row>
    <row r="59" hidden="1" outlineLevel="1" spans="1:4">
      <c r="A59" s="18"/>
      <c r="B59" s="19"/>
      <c r="C59" s="19"/>
      <c r="D59" s="19"/>
    </row>
    <row r="60" hidden="1" outlineLevel="1" spans="1:4">
      <c r="A60" s="18"/>
      <c r="B60" s="19"/>
      <c r="C60" s="19"/>
      <c r="D60" s="19"/>
    </row>
    <row r="61" hidden="1" outlineLevel="1" spans="1:4">
      <c r="A61" s="18"/>
      <c r="B61" s="19"/>
      <c r="C61" s="19"/>
      <c r="D61" s="19"/>
    </row>
    <row r="62" hidden="1" outlineLevel="1" spans="1:4">
      <c r="A62" s="18"/>
      <c r="B62" s="19"/>
      <c r="C62" s="19"/>
      <c r="D62" s="19"/>
    </row>
    <row r="63" hidden="1" outlineLevel="1" spans="1:4">
      <c r="A63" s="18"/>
      <c r="B63" s="19"/>
      <c r="C63" s="19"/>
      <c r="D63" s="19"/>
    </row>
    <row r="64" hidden="1" outlineLevel="1" spans="1:4">
      <c r="A64" s="18" t="s">
        <v>286</v>
      </c>
      <c r="B64" s="19"/>
      <c r="C64" s="19"/>
      <c r="D64" s="19"/>
    </row>
    <row r="65" hidden="1" outlineLevel="1" spans="1:4">
      <c r="A65" s="18" t="s">
        <v>287</v>
      </c>
      <c r="B65" s="19"/>
      <c r="C65" s="19"/>
      <c r="D65" s="19"/>
    </row>
    <row r="66" hidden="1" outlineLevel="1" spans="1:4">
      <c r="A66" s="18"/>
      <c r="B66" s="19"/>
      <c r="C66" s="19"/>
      <c r="D66" s="19"/>
    </row>
    <row r="67" hidden="1" outlineLevel="1" spans="1:4">
      <c r="A67" s="18"/>
      <c r="B67" s="19"/>
      <c r="C67" s="19"/>
      <c r="D67" s="19"/>
    </row>
    <row r="68" hidden="1" outlineLevel="1" spans="1:4">
      <c r="A68" s="18"/>
      <c r="B68" s="19"/>
      <c r="C68" s="19"/>
      <c r="D68" s="19"/>
    </row>
    <row r="69" hidden="1" outlineLevel="1" spans="1:4">
      <c r="A69" s="18"/>
      <c r="B69" s="19"/>
      <c r="C69" s="19"/>
      <c r="D69" s="19"/>
    </row>
    <row r="70" hidden="1" outlineLevel="1" spans="1:4">
      <c r="A70" s="18"/>
      <c r="B70" s="19"/>
      <c r="C70" s="19"/>
      <c r="D70" s="19"/>
    </row>
    <row r="71" hidden="1" outlineLevel="1" spans="1:4">
      <c r="A71" s="18"/>
      <c r="B71" s="19"/>
      <c r="C71" s="19"/>
      <c r="D71" s="19"/>
    </row>
    <row r="72" hidden="1" outlineLevel="1" spans="1:4">
      <c r="A72" s="18"/>
      <c r="B72" s="19"/>
      <c r="C72" s="19"/>
      <c r="D72" s="19"/>
    </row>
    <row r="73" hidden="1" outlineLevel="1" spans="1:4">
      <c r="A73" s="18"/>
      <c r="B73" s="19"/>
      <c r="C73" s="19"/>
      <c r="D73" s="19"/>
    </row>
    <row r="74" hidden="1" outlineLevel="1" spans="1:4">
      <c r="A74" s="18"/>
      <c r="B74" s="19"/>
      <c r="C74" s="19"/>
      <c r="D74" s="19"/>
    </row>
    <row r="75" hidden="1" outlineLevel="1" spans="1:4">
      <c r="A75" s="18"/>
      <c r="B75" s="19"/>
      <c r="C75" s="19"/>
      <c r="D75" s="19"/>
    </row>
    <row r="76" hidden="1" outlineLevel="1" spans="1:4">
      <c r="A76" s="18"/>
      <c r="B76" s="19"/>
      <c r="C76" s="19"/>
      <c r="D76" s="19"/>
    </row>
    <row r="77" hidden="1" outlineLevel="1" spans="1:4">
      <c r="A77" s="18"/>
      <c r="B77" s="19"/>
      <c r="C77" s="19"/>
      <c r="D77" s="19"/>
    </row>
    <row r="78" hidden="1" outlineLevel="1" spans="1:4">
      <c r="A78" s="18"/>
      <c r="B78" s="19"/>
      <c r="C78" s="19"/>
      <c r="D78" s="19"/>
    </row>
    <row r="79" hidden="1" outlineLevel="1" spans="1:4">
      <c r="A79" s="18"/>
      <c r="B79" s="19"/>
      <c r="C79" s="19"/>
      <c r="D79" s="19"/>
    </row>
    <row r="80" hidden="1" outlineLevel="1" spans="1:4">
      <c r="A80" s="18" t="s">
        <v>288</v>
      </c>
      <c r="B80" s="19"/>
      <c r="C80" s="19"/>
      <c r="D80" s="19"/>
    </row>
    <row r="81" hidden="1" outlineLevel="1" spans="1:4">
      <c r="A81" s="18"/>
      <c r="B81" s="19"/>
      <c r="C81" s="19"/>
      <c r="D81" s="19"/>
    </row>
    <row r="82" hidden="1" outlineLevel="1" spans="1:4">
      <c r="A82" s="18"/>
      <c r="B82" s="19"/>
      <c r="C82" s="19"/>
      <c r="D82" s="19"/>
    </row>
    <row r="83" hidden="1" outlineLevel="1" spans="1:4">
      <c r="A83" s="18"/>
      <c r="B83" s="19"/>
      <c r="C83" s="19"/>
      <c r="D83" s="19"/>
    </row>
    <row r="84" hidden="1" outlineLevel="1" spans="1:4">
      <c r="A84" s="18"/>
      <c r="B84" s="19"/>
      <c r="C84" s="19"/>
      <c r="D84" s="19"/>
    </row>
    <row r="85" hidden="1" outlineLevel="1" spans="1:4">
      <c r="A85" s="18"/>
      <c r="B85" s="19"/>
      <c r="C85" s="19"/>
      <c r="D85" s="19"/>
    </row>
    <row r="86" hidden="1" outlineLevel="1" spans="1:4">
      <c r="A86" s="18"/>
      <c r="B86" s="19"/>
      <c r="C86" s="19"/>
      <c r="D86" s="19"/>
    </row>
    <row r="87" hidden="1" outlineLevel="1" spans="1:4">
      <c r="A87" s="18"/>
      <c r="B87" s="19"/>
      <c r="C87" s="19"/>
      <c r="D87" s="19"/>
    </row>
    <row r="88" hidden="1" outlineLevel="1" spans="1:4">
      <c r="A88" s="18"/>
      <c r="B88" s="19"/>
      <c r="C88" s="19"/>
      <c r="D88" s="19"/>
    </row>
    <row r="89" hidden="1" outlineLevel="1" spans="1:4">
      <c r="A89" s="18"/>
      <c r="B89" s="19"/>
      <c r="C89" s="19"/>
      <c r="D89" s="19"/>
    </row>
    <row r="90" hidden="1" outlineLevel="1" spans="1:4">
      <c r="A90" s="18"/>
      <c r="B90" s="19"/>
      <c r="C90" s="19"/>
      <c r="D90" s="19"/>
    </row>
    <row r="91" hidden="1" outlineLevel="1" spans="1:4">
      <c r="A91" s="18"/>
      <c r="B91" s="19"/>
      <c r="C91" s="19"/>
      <c r="D91" s="19"/>
    </row>
    <row r="92" hidden="1" outlineLevel="1" spans="1:4">
      <c r="A92" s="18"/>
      <c r="B92" s="19"/>
      <c r="C92" s="19"/>
      <c r="D92" s="19"/>
    </row>
    <row r="93" hidden="1" outlineLevel="1" spans="1:4">
      <c r="A93" s="18"/>
      <c r="B93" s="19"/>
      <c r="C93" s="19"/>
      <c r="D93" s="19"/>
    </row>
    <row r="94" hidden="1" outlineLevel="1" spans="1:4">
      <c r="A94" s="18"/>
      <c r="B94" s="19"/>
      <c r="C94" s="19"/>
      <c r="D94" s="19"/>
    </row>
    <row r="95" hidden="1" outlineLevel="1" spans="1:4">
      <c r="A95" s="18"/>
      <c r="B95" s="19"/>
      <c r="C95" s="19"/>
      <c r="D95" s="19"/>
    </row>
    <row r="96" hidden="1" outlineLevel="1" spans="1:4">
      <c r="A96" s="18"/>
      <c r="B96" s="19"/>
      <c r="C96" s="19"/>
      <c r="D96" s="19"/>
    </row>
    <row r="97" hidden="1" outlineLevel="1" spans="1:4">
      <c r="A97" s="18"/>
      <c r="B97" s="19"/>
      <c r="C97" s="19"/>
      <c r="D97" s="19"/>
    </row>
    <row r="98" hidden="1" outlineLevel="1" spans="1:4">
      <c r="A98" s="18"/>
      <c r="B98" s="19"/>
      <c r="C98" s="19"/>
      <c r="D98" s="19"/>
    </row>
    <row r="99" hidden="1" outlineLevel="1" spans="1:4">
      <c r="A99" s="18"/>
      <c r="B99" s="19"/>
      <c r="C99" s="19"/>
      <c r="D99" s="19"/>
    </row>
    <row r="100" hidden="1" outlineLevel="1" spans="1:4">
      <c r="A100" s="18"/>
      <c r="B100" s="19"/>
      <c r="C100" s="19"/>
      <c r="D100" s="19"/>
    </row>
    <row r="101" hidden="1" outlineLevel="1" spans="1:4">
      <c r="A101" s="18"/>
      <c r="B101" s="19"/>
      <c r="C101" s="19"/>
      <c r="D101" s="19"/>
    </row>
    <row r="102" hidden="1" outlineLevel="1" spans="1:4">
      <c r="A102" s="18"/>
      <c r="B102" s="19"/>
      <c r="C102" s="19"/>
      <c r="D102" s="19"/>
    </row>
    <row r="103" hidden="1" outlineLevel="1" spans="1:4">
      <c r="A103" s="18"/>
      <c r="B103" s="19"/>
      <c r="C103" s="19"/>
      <c r="D103" s="19"/>
    </row>
    <row r="104" hidden="1" outlineLevel="1" spans="1:4">
      <c r="A104" s="18"/>
      <c r="B104" s="19"/>
      <c r="C104" s="19"/>
      <c r="D104" s="19"/>
    </row>
    <row r="105" ht="17.25" hidden="1" outlineLevel="1" spans="1:4">
      <c r="A105" s="20" t="s">
        <v>289</v>
      </c>
      <c r="B105" s="21"/>
      <c r="C105" s="21"/>
      <c r="D105" s="21"/>
    </row>
    <row r="106" hidden="1" outlineLevel="1"/>
    <row r="107" spans="1:4">
      <c r="A107" s="22" t="s">
        <v>290</v>
      </c>
      <c r="B107" s="22"/>
      <c r="C107" s="22"/>
      <c r="D107" s="22"/>
    </row>
    <row r="108" spans="1:4">
      <c r="A108" s="22" t="s">
        <v>291</v>
      </c>
      <c r="B108" s="22"/>
      <c r="C108" s="22"/>
      <c r="D108" s="22"/>
    </row>
    <row r="109" outlineLevel="1"/>
    <row r="110" outlineLevel="1" spans="2:2">
      <c r="B110" s="23"/>
    </row>
    <row r="111" outlineLevel="1"/>
  </sheetData>
  <mergeCells count="3">
    <mergeCell ref="A1:D1"/>
    <mergeCell ref="A107:D107"/>
    <mergeCell ref="A108:D108"/>
  </mergeCells>
  <pageMargins left="0.7" right="0.7" top="0.75" bottom="0.75" header="0.3" footer="0.3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/>
  </sheetPr>
  <dimension ref="A1:D9"/>
  <sheetViews>
    <sheetView workbookViewId="0">
      <selection activeCell="F25" sqref="F25"/>
    </sheetView>
  </sheetViews>
  <sheetFormatPr defaultColWidth="9" defaultRowHeight="13.5" outlineLevelCol="3"/>
  <cols>
    <col min="1" max="1" width="10.25" customWidth="1"/>
    <col min="3" max="3" width="65.125" customWidth="1"/>
    <col min="4" max="4" width="9" style="1"/>
    <col min="8" max="8" width="9" style="2"/>
  </cols>
  <sheetData>
    <row r="1" spans="1:4">
      <c r="A1" s="3" t="s">
        <v>102</v>
      </c>
      <c r="B1" s="4" t="s">
        <v>292</v>
      </c>
      <c r="C1" s="5" t="s">
        <v>293</v>
      </c>
      <c r="D1" s="6" t="s">
        <v>294</v>
      </c>
    </row>
    <row r="2" spans="1:4">
      <c r="A2" s="7">
        <v>43049</v>
      </c>
      <c r="B2" s="8" t="s">
        <v>295</v>
      </c>
      <c r="C2" s="9" t="s">
        <v>296</v>
      </c>
      <c r="D2" s="10" t="s">
        <v>297</v>
      </c>
    </row>
    <row r="3" ht="36" spans="1:4">
      <c r="A3" s="7">
        <v>43400</v>
      </c>
      <c r="B3" s="8" t="s">
        <v>298</v>
      </c>
      <c r="C3" s="11" t="s">
        <v>299</v>
      </c>
      <c r="D3" s="10" t="s">
        <v>297</v>
      </c>
    </row>
    <row r="4" spans="1:4">
      <c r="A4" s="7">
        <v>43439</v>
      </c>
      <c r="B4" s="8" t="s">
        <v>300</v>
      </c>
      <c r="C4" s="11" t="s">
        <v>301</v>
      </c>
      <c r="D4" s="10" t="s">
        <v>297</v>
      </c>
    </row>
    <row r="5" spans="1:4">
      <c r="A5" s="7">
        <v>43446</v>
      </c>
      <c r="B5" s="8" t="s">
        <v>302</v>
      </c>
      <c r="C5" s="11" t="s">
        <v>303</v>
      </c>
      <c r="D5" s="10" t="s">
        <v>297</v>
      </c>
    </row>
    <row r="6" ht="48" spans="1:4">
      <c r="A6" s="7">
        <v>43590</v>
      </c>
      <c r="B6" s="8" t="s">
        <v>304</v>
      </c>
      <c r="C6" s="11" t="s">
        <v>305</v>
      </c>
      <c r="D6" s="10" t="s">
        <v>297</v>
      </c>
    </row>
    <row r="7" ht="48" spans="1:4">
      <c r="A7" s="7">
        <v>43834</v>
      </c>
      <c r="B7" s="8" t="s">
        <v>306</v>
      </c>
      <c r="C7" s="11" t="s">
        <v>307</v>
      </c>
      <c r="D7" s="10" t="s">
        <v>297</v>
      </c>
    </row>
    <row r="8" spans="1:4">
      <c r="A8" s="12"/>
      <c r="B8" s="8"/>
      <c r="C8" s="13"/>
      <c r="D8" s="10"/>
    </row>
    <row r="9" spans="1:4">
      <c r="A9" s="12"/>
      <c r="B9" s="8"/>
      <c r="C9" s="13"/>
      <c r="D9" s="10"/>
    </row>
  </sheetData>
  <conditionalFormatting sqref="A1:A2 B1 C1:C2 D1">
    <cfRule type="expression" dxfId="0" priority="16" stopIfTrue="1">
      <formula>OR(#REF!="及时完成",#REF!="延期完成",#REF!="非跟踪任务")</formula>
    </cfRule>
    <cfRule type="expression" dxfId="1" priority="17" stopIfTrue="1">
      <formula>OR(#REF!="任务延期")</formula>
    </cfRule>
    <cfRule type="expression" dxfId="2" priority="18" stopIfTrue="1">
      <formula>OR(#REF!="任务预警")</formula>
    </cfRule>
  </conditionalFormatting>
  <conditionalFormatting sqref="A3 C3">
    <cfRule type="expression" dxfId="0" priority="13" stopIfTrue="1">
      <formula>OR(#REF!="及时完成",#REF!="延期完成",#REF!="非跟踪任务")</formula>
    </cfRule>
    <cfRule type="expression" dxfId="1" priority="14" stopIfTrue="1">
      <formula>OR(#REF!="任务延期")</formula>
    </cfRule>
    <cfRule type="expression" dxfId="2" priority="15" stopIfTrue="1">
      <formula>OR(#REF!="任务预警")</formula>
    </cfRule>
  </conditionalFormatting>
  <conditionalFormatting sqref="A4 C4">
    <cfRule type="expression" dxfId="0" priority="10" stopIfTrue="1">
      <formula>OR(#REF!="及时完成",#REF!="延期完成",#REF!="非跟踪任务")</formula>
    </cfRule>
    <cfRule type="expression" dxfId="1" priority="11" stopIfTrue="1">
      <formula>OR(#REF!="任务延期")</formula>
    </cfRule>
    <cfRule type="expression" dxfId="2" priority="12" stopIfTrue="1">
      <formula>OR(#REF!="任务预警")</formula>
    </cfRule>
  </conditionalFormatting>
  <conditionalFormatting sqref="A5 C5">
    <cfRule type="expression" dxfId="0" priority="7" stopIfTrue="1">
      <formula>OR(#REF!="及时完成",#REF!="延期完成",#REF!="非跟踪任务")</formula>
    </cfRule>
    <cfRule type="expression" dxfId="1" priority="8" stopIfTrue="1">
      <formula>OR(#REF!="任务延期")</formula>
    </cfRule>
    <cfRule type="expression" dxfId="2" priority="9" stopIfTrue="1">
      <formula>OR(#REF!="任务预警")</formula>
    </cfRule>
  </conditionalFormatting>
  <conditionalFormatting sqref="A6 C6">
    <cfRule type="expression" dxfId="0" priority="4" stopIfTrue="1">
      <formula>OR(#REF!="及时完成",#REF!="延期完成",#REF!="非跟踪任务")</formula>
    </cfRule>
    <cfRule type="expression" dxfId="1" priority="5" stopIfTrue="1">
      <formula>OR(#REF!="任务延期")</formula>
    </cfRule>
    <cfRule type="expression" dxfId="2" priority="6" stopIfTrue="1">
      <formula>OR(#REF!="任务预警")</formula>
    </cfRule>
  </conditionalFormatting>
  <conditionalFormatting sqref="A7 C7">
    <cfRule type="expression" dxfId="0" priority="1" stopIfTrue="1">
      <formula>OR(#REF!="及时完成",#REF!="延期完成",#REF!="非跟踪任务")</formula>
    </cfRule>
    <cfRule type="expression" dxfId="1" priority="2" stopIfTrue="1">
      <formula>OR(#REF!="任务延期")</formula>
    </cfRule>
    <cfRule type="expression" dxfId="2" priority="3" stopIfTrue="1">
      <formula>OR(#REF!="任务预警")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版本描述信息</vt:lpstr>
      <vt:lpstr>例行系统测试</vt:lpstr>
      <vt:lpstr>测试说明及记录</vt:lpstr>
      <vt:lpstr>版本修改记录</vt:lpstr>
      <vt:lpstr>问题单合入记录</vt:lpstr>
      <vt:lpstr>附录信息</vt:lpstr>
      <vt:lpstr>模板修订记录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l00431</cp:lastModifiedBy>
  <dcterms:created xsi:type="dcterms:W3CDTF">2015-06-05T18:19:00Z</dcterms:created>
  <dcterms:modified xsi:type="dcterms:W3CDTF">2025-02-08T02:45:38Z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64218518C9C045BAB56B11F2D0FF84CD</vt:lpwstr>
  </property>
  <property fmtid="{D5CDD505-2E9C-101B-9397-08002B2CF9AE}" pid="3" name="KSOProductBuildVer">
    <vt:lpwstr>2052-11.1.0.11830</vt:lpwstr>
  </property>
</Properties>
</file>